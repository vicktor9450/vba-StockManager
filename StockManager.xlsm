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E39A1632-A8E3-4493-0D71-6A188D42057B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victorhoang/Library/Mobile Documents/com~apple~CloudDocs/Documents/vba-StockManager/"/>
    </mc:Choice>
  </mc:AlternateContent>
  <xr:revisionPtr revIDLastSave="0" documentId="13_ncr:1_{E484EE77-07CF-6645-8190-70CFE2FAE63B}" xr6:coauthVersionLast="47" xr6:coauthVersionMax="47" xr10:uidLastSave="{00000000-0000-0000-0000-000000000000}"/>
  <bookViews>
    <workbookView xWindow="0" yWindow="500" windowWidth="28800" windowHeight="17500" activeTab="1" xr2:uid="{00000000-000D-0000-FFFF-FFFF00000000}"/>
  </bookViews>
  <sheets>
    <sheet name="INK" sheetId="3" r:id="rId1"/>
    <sheet name="PaperSummary" sheetId="528" r:id="rId2"/>
    <sheet name="InStock" sheetId="2" r:id="rId3"/>
    <sheet name="Others" sheetId="265" state="hidden" r:id="rId4"/>
    <sheet name="Change Log" sheetId="109" state="hidden" r:id="rId5"/>
    <sheet name="Storage" sheetId="328" state="hidden" r:id="rId6"/>
    <sheet name="STD not has INK" sheetId="4" state="hidden" r:id="rId7"/>
    <sheet name="STD" sheetId="5" state="hidden" r:id="rId8"/>
  </sheets>
  <functionGroups builtInGroupCount="19"/>
  <definedNames>
    <definedName name="_xlnm._FilterDatabase" localSheetId="0" hidden="1">INK!$A$5:$F$238</definedName>
    <definedName name="_xlnm._FilterDatabase" localSheetId="2" hidden="1">InStock!$A$5:$H$276</definedName>
    <definedName name="_xlnm._FilterDatabase" localSheetId="7" hidden="1">STD!$A$1:$C$81</definedName>
    <definedName name="Paper_String">InStock!$A$2</definedName>
    <definedName name="Paper_Table">Table2[]</definedName>
    <definedName name="search_string">INK!$C$2</definedName>
  </definedNames>
  <calcPr calcId="191029"/>
  <pivotCaches>
    <pivotCache cacheId="44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7" i="2" l="1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6" i="2"/>
  <c r="F276" i="2"/>
  <c r="H276" i="2" s="1"/>
  <c r="F275" i="2"/>
  <c r="H275" i="2" s="1"/>
  <c r="F274" i="2"/>
  <c r="H274" i="2" s="1"/>
  <c r="F273" i="2"/>
  <c r="H273" i="2" s="1"/>
  <c r="F272" i="2"/>
  <c r="H272" i="2" s="1"/>
  <c r="F271" i="2"/>
  <c r="H271" i="2" s="1"/>
  <c r="F270" i="2"/>
  <c r="H270" i="2" s="1"/>
  <c r="G238" i="3"/>
  <c r="B1" i="528"/>
  <c r="F269" i="2" l="1"/>
  <c r="H269" i="2" s="1"/>
  <c r="F268" i="2" l="1"/>
  <c r="H268" i="2" s="1"/>
  <c r="F267" i="2" l="1"/>
  <c r="H267" i="2" s="1"/>
  <c r="F266" i="2"/>
  <c r="H266" i="2" s="1"/>
  <c r="F265" i="2"/>
  <c r="H265" i="2" s="1"/>
  <c r="F264" i="2"/>
  <c r="H264" i="2" s="1"/>
  <c r="F263" i="2"/>
  <c r="H263" i="2" s="1"/>
  <c r="F262" i="2"/>
  <c r="H262" i="2" s="1"/>
  <c r="F261" i="2"/>
  <c r="H261" i="2" s="1"/>
  <c r="F260" i="2"/>
  <c r="H260" i="2" s="1"/>
  <c r="F259" i="2"/>
  <c r="H259" i="2" s="1"/>
  <c r="F258" i="2"/>
  <c r="H258" i="2" s="1"/>
  <c r="F257" i="2"/>
  <c r="H257" i="2" s="1"/>
  <c r="F256" i="2" l="1"/>
  <c r="H256" i="2" s="1"/>
  <c r="F255" i="2"/>
  <c r="H255" i="2" s="1"/>
  <c r="F254" i="2"/>
  <c r="H254" i="2" s="1"/>
  <c r="F253" i="2"/>
  <c r="H253" i="2" s="1"/>
  <c r="F252" i="2" l="1"/>
  <c r="H252" i="2" s="1"/>
  <c r="F251" i="2" l="1"/>
  <c r="H251" i="2" s="1"/>
  <c r="F250" i="2" l="1"/>
  <c r="H250" i="2" s="1"/>
  <c r="F249" i="2"/>
  <c r="H249" i="2" s="1"/>
  <c r="F248" i="2" l="1"/>
  <c r="H248" i="2" s="1"/>
  <c r="F247" i="2" l="1"/>
  <c r="H247" i="2" s="1"/>
  <c r="F246" i="2"/>
  <c r="H246" i="2" s="1"/>
  <c r="F245" i="2" l="1"/>
  <c r="H245" i="2" s="1"/>
  <c r="F244" i="2" l="1"/>
  <c r="H244" i="2" s="1"/>
  <c r="F243" i="2"/>
  <c r="H243" i="2" s="1"/>
  <c r="F242" i="2" l="1"/>
  <c r="H242" i="2" s="1"/>
  <c r="F241" i="2" l="1"/>
  <c r="H241" i="2" s="1"/>
  <c r="F240" i="2" l="1"/>
  <c r="H240" i="2" s="1"/>
  <c r="F239" i="2" l="1"/>
  <c r="H239" i="2" s="1"/>
  <c r="F238" i="2" l="1"/>
  <c r="H238" i="2" s="1"/>
  <c r="F237" i="2" l="1"/>
  <c r="H237" i="2" s="1"/>
  <c r="F236" i="2"/>
  <c r="H236" i="2" s="1"/>
  <c r="F235" i="2"/>
  <c r="H235" i="2" s="1"/>
  <c r="F234" i="2" l="1"/>
  <c r="H234" i="2" s="1"/>
  <c r="F233" i="2"/>
  <c r="H233" i="2" s="1"/>
  <c r="F232" i="2" l="1"/>
  <c r="H232" i="2" s="1"/>
  <c r="F231" i="2" l="1"/>
  <c r="H231" i="2" s="1"/>
  <c r="F230" i="2" l="1"/>
  <c r="H230" i="2" s="1"/>
  <c r="F229" i="2" l="1"/>
  <c r="H229" i="2" s="1"/>
  <c r="F228" i="2" l="1"/>
  <c r="H228" i="2" s="1"/>
  <c r="F227" i="2" l="1"/>
  <c r="H227" i="2" s="1"/>
  <c r="F226" i="2" l="1"/>
  <c r="H226" i="2" s="1"/>
  <c r="F225" i="2"/>
  <c r="H225" i="2" s="1"/>
  <c r="F224" i="2" l="1"/>
  <c r="H224" i="2" s="1"/>
  <c r="F223" i="2"/>
  <c r="H223" i="2" s="1"/>
  <c r="F222" i="2"/>
  <c r="H222" i="2" s="1"/>
  <c r="F221" i="2"/>
  <c r="H221" i="2" s="1"/>
  <c r="F220" i="2" l="1"/>
  <c r="H220" i="2" s="1"/>
  <c r="F219" i="2" l="1"/>
  <c r="H219" i="2" s="1"/>
  <c r="F218" i="2"/>
  <c r="H218" i="2" s="1"/>
  <c r="F217" i="2"/>
  <c r="H217" i="2" s="1"/>
  <c r="F216" i="2" l="1"/>
  <c r="H216" i="2" s="1"/>
  <c r="F215" i="2"/>
  <c r="H215" i="2" s="1"/>
  <c r="F214" i="2"/>
  <c r="H214" i="2" s="1"/>
  <c r="F213" i="2"/>
  <c r="H213" i="2" s="1"/>
  <c r="F212" i="2" l="1"/>
  <c r="H212" i="2" s="1"/>
  <c r="F211" i="2"/>
  <c r="H211" i="2" s="1"/>
  <c r="F210" i="2"/>
  <c r="H210" i="2" s="1"/>
  <c r="F209" i="2"/>
  <c r="H209" i="2" s="1"/>
  <c r="F208" i="2" l="1"/>
  <c r="H208" i="2" s="1"/>
  <c r="F207" i="2" l="1"/>
  <c r="H207" i="2" s="1"/>
  <c r="F206" i="2"/>
  <c r="H206" i="2" s="1"/>
  <c r="F205" i="2"/>
  <c r="H205" i="2" s="1"/>
  <c r="F204" i="2"/>
  <c r="H204" i="2" s="1"/>
  <c r="F203" i="2" l="1"/>
  <c r="H203" i="2" s="1"/>
  <c r="F202" i="2" l="1"/>
  <c r="H202" i="2" s="1"/>
  <c r="F201" i="2"/>
  <c r="H201" i="2" s="1"/>
  <c r="F200" i="2" l="1"/>
  <c r="H200" i="2" s="1"/>
  <c r="F199" i="2"/>
  <c r="H199" i="2" s="1"/>
  <c r="F198" i="2" l="1"/>
  <c r="H198" i="2" s="1"/>
  <c r="F197" i="2"/>
  <c r="H197" i="2" s="1"/>
  <c r="F195" i="2" l="1"/>
  <c r="F196" i="2" l="1"/>
  <c r="H196" i="2" s="1"/>
  <c r="H195" i="2"/>
  <c r="F194" i="2"/>
  <c r="H194" i="2" s="1"/>
  <c r="F193" i="2" l="1"/>
  <c r="H193" i="2" s="1"/>
  <c r="F192" i="2"/>
  <c r="H192" i="2" s="1"/>
  <c r="F191" i="2"/>
  <c r="H191" i="2" s="1"/>
  <c r="F190" i="2"/>
  <c r="H190" i="2" s="1"/>
  <c r="F189" i="2"/>
  <c r="H189" i="2" s="1"/>
  <c r="F188" i="2"/>
  <c r="H188" i="2" s="1"/>
  <c r="F187" i="2" l="1"/>
  <c r="H187" i="2" s="1"/>
  <c r="F186" i="2"/>
  <c r="H186" i="2" s="1"/>
  <c r="F185" i="2"/>
  <c r="H185" i="2" s="1"/>
  <c r="F184" i="2"/>
  <c r="H184" i="2" s="1"/>
  <c r="F183" i="2"/>
  <c r="H183" i="2" s="1"/>
  <c r="F182" i="2"/>
  <c r="H182" i="2" s="1"/>
  <c r="F181" i="2" l="1"/>
  <c r="H181" i="2" s="1"/>
  <c r="F180" i="2"/>
  <c r="H180" i="2" s="1"/>
  <c r="F179" i="2"/>
  <c r="H179" i="2" s="1"/>
  <c r="F178" i="2"/>
  <c r="H178" i="2" s="1"/>
  <c r="F177" i="2"/>
  <c r="H177" i="2" s="1"/>
  <c r="F176" i="2"/>
  <c r="H176" i="2" s="1"/>
  <c r="F175" i="2"/>
  <c r="H175" i="2" s="1"/>
  <c r="F174" i="2"/>
  <c r="H174" i="2" s="1"/>
  <c r="F173" i="2"/>
  <c r="H173" i="2" s="1"/>
  <c r="F172" i="2"/>
  <c r="H172" i="2" s="1"/>
  <c r="F171" i="2"/>
  <c r="H171" i="2" s="1"/>
  <c r="F170" i="2"/>
  <c r="H170" i="2" s="1"/>
  <c r="F169" i="2"/>
  <c r="H169" i="2" s="1"/>
  <c r="F168" i="2"/>
  <c r="H168" i="2" s="1"/>
  <c r="F167" i="2"/>
  <c r="H167" i="2" s="1"/>
  <c r="F166" i="2"/>
  <c r="H166" i="2" s="1"/>
  <c r="F165" i="2"/>
  <c r="H165" i="2" s="1"/>
  <c r="F164" i="2"/>
  <c r="H164" i="2" s="1"/>
  <c r="F163" i="2"/>
  <c r="H163" i="2" s="1"/>
  <c r="F162" i="2"/>
  <c r="H162" i="2" s="1"/>
  <c r="F161" i="2"/>
  <c r="H161" i="2" s="1"/>
  <c r="F160" i="2"/>
  <c r="H160" i="2" s="1"/>
  <c r="F159" i="2"/>
  <c r="H159" i="2" s="1"/>
  <c r="F3" i="3"/>
  <c r="F158" i="2" l="1"/>
  <c r="H158" i="2" s="1"/>
  <c r="F157" i="2"/>
  <c r="H157" i="2" s="1"/>
  <c r="F156" i="2" l="1"/>
  <c r="H156" i="2" s="1"/>
  <c r="F155" i="2" l="1"/>
  <c r="H155" i="2" s="1"/>
  <c r="F154" i="2"/>
  <c r="H154" i="2" s="1"/>
  <c r="F153" i="2"/>
  <c r="H153" i="2" s="1"/>
  <c r="F152" i="2"/>
  <c r="H152" i="2" s="1"/>
  <c r="F151" i="2"/>
  <c r="H151" i="2" s="1"/>
  <c r="F150" i="2"/>
  <c r="H150" i="2" s="1"/>
  <c r="F149" i="2"/>
  <c r="H149" i="2" s="1"/>
  <c r="F148" i="2" l="1"/>
  <c r="H148" i="2" s="1"/>
  <c r="F147" i="2"/>
  <c r="H147" i="2" s="1"/>
  <c r="F146" i="2"/>
  <c r="H146" i="2" s="1"/>
  <c r="F145" i="2"/>
  <c r="H145" i="2" s="1"/>
  <c r="F144" i="2"/>
  <c r="H144" i="2" s="1"/>
  <c r="F143" i="2"/>
  <c r="H143" i="2" s="1"/>
  <c r="F142" i="2"/>
  <c r="H142" i="2" s="1"/>
  <c r="F141" i="2"/>
  <c r="H141" i="2" s="1"/>
  <c r="F140" i="2" l="1"/>
  <c r="H140" i="2" s="1"/>
  <c r="F139" i="2" l="1"/>
  <c r="H139" i="2" s="1"/>
  <c r="F138" i="2" l="1"/>
  <c r="H138" i="2" s="1"/>
  <c r="F137" i="2" l="1"/>
  <c r="H137" i="2" s="1"/>
  <c r="F136" i="2"/>
  <c r="H136" i="2" s="1"/>
  <c r="F135" i="2"/>
  <c r="H135" i="2" s="1"/>
  <c r="F134" i="2"/>
  <c r="H134" i="2" s="1"/>
  <c r="F133" i="2"/>
  <c r="H133" i="2" s="1"/>
  <c r="F132" i="2"/>
  <c r="H132" i="2" s="1"/>
  <c r="F131" i="2" l="1"/>
  <c r="H131" i="2" s="1"/>
  <c r="F20" i="2" l="1"/>
  <c r="F130" i="2" l="1"/>
  <c r="H130" i="2" s="1"/>
  <c r="F129" i="2"/>
  <c r="H129" i="2" s="1"/>
  <c r="F128" i="2"/>
  <c r="H128" i="2" s="1"/>
  <c r="F127" i="2" l="1"/>
  <c r="H127" i="2" s="1"/>
  <c r="F126" i="2" l="1"/>
  <c r="H126" i="2" s="1"/>
  <c r="F125" i="2" l="1"/>
  <c r="H125" i="2" s="1"/>
  <c r="F124" i="2" l="1"/>
  <c r="H124" i="2" s="1"/>
  <c r="F123" i="2"/>
  <c r="H123" i="2" s="1"/>
  <c r="F122" i="2"/>
  <c r="H122" i="2" s="1"/>
  <c r="F121" i="2"/>
  <c r="H121" i="2" s="1"/>
  <c r="F120" i="2" l="1"/>
  <c r="H120" i="2" s="1"/>
  <c r="F119" i="2"/>
  <c r="H119" i="2" s="1"/>
  <c r="F118" i="2"/>
  <c r="H118" i="2" s="1"/>
  <c r="F117" i="2" l="1"/>
  <c r="H117" i="2" s="1"/>
  <c r="F116" i="2"/>
  <c r="H116" i="2" s="1"/>
  <c r="F115" i="2"/>
  <c r="H115" i="2" s="1"/>
  <c r="F114" i="2" l="1"/>
  <c r="H114" i="2" s="1"/>
  <c r="F113" i="2"/>
  <c r="H113" i="2" s="1"/>
  <c r="F112" i="2"/>
  <c r="H112" i="2" s="1"/>
  <c r="F111" i="2"/>
  <c r="H111" i="2" s="1"/>
  <c r="F110" i="2" l="1"/>
  <c r="H110" i="2" s="1"/>
  <c r="F109" i="2" l="1"/>
  <c r="H109" i="2" s="1"/>
  <c r="F108" i="2"/>
  <c r="H108" i="2" s="1"/>
  <c r="F107" i="2"/>
  <c r="H107" i="2" s="1"/>
  <c r="F106" i="2" l="1"/>
  <c r="H106" i="2" s="1"/>
  <c r="F105" i="2" l="1"/>
  <c r="H105" i="2" s="1"/>
  <c r="F104" i="2"/>
  <c r="H104" i="2" s="1"/>
  <c r="F103" i="2" l="1"/>
  <c r="H103" i="2" s="1"/>
  <c r="F99" i="2" l="1"/>
  <c r="F102" i="2" l="1"/>
  <c r="H102" i="2" s="1"/>
  <c r="F101" i="2"/>
  <c r="H101" i="2" s="1"/>
  <c r="F100" i="2"/>
  <c r="H100" i="2" s="1"/>
  <c r="H99" i="2"/>
  <c r="F98" i="2"/>
  <c r="H98" i="2" s="1"/>
  <c r="F97" i="2" l="1"/>
  <c r="H97" i="2" s="1"/>
  <c r="F96" i="2"/>
  <c r="H96" i="2" s="1"/>
  <c r="F95" i="2"/>
  <c r="H95" i="2" s="1"/>
  <c r="F94" i="2"/>
  <c r="H94" i="2" s="1"/>
  <c r="F93" i="2"/>
  <c r="H93" i="2" s="1"/>
  <c r="F92" i="2"/>
  <c r="H92" i="2" s="1"/>
  <c r="F91" i="2" l="1"/>
  <c r="H91" i="2" s="1"/>
  <c r="F90" i="2"/>
  <c r="H90" i="2" s="1"/>
  <c r="F89" i="2"/>
  <c r="H89" i="2" s="1"/>
  <c r="F88" i="2" l="1"/>
  <c r="H88" i="2" s="1"/>
  <c r="F87" i="2"/>
  <c r="H87" i="2" s="1"/>
  <c r="F86" i="2" l="1"/>
  <c r="H86" i="2" s="1"/>
  <c r="F85" i="2" l="1"/>
  <c r="H85" i="2" s="1"/>
  <c r="F82" i="2" l="1"/>
  <c r="H82" i="2" s="1"/>
  <c r="F83" i="2"/>
  <c r="H83" i="2" s="1"/>
  <c r="F84" i="2"/>
  <c r="H84" i="2" s="1"/>
  <c r="F81" i="2"/>
  <c r="H81" i="2" s="1"/>
  <c r="F80" i="2" l="1"/>
  <c r="H80" i="2" s="1"/>
  <c r="F79" i="2" l="1"/>
  <c r="H79" i="2" s="1"/>
  <c r="F77" i="2" l="1"/>
  <c r="H77" i="2" s="1"/>
  <c r="F76" i="2"/>
  <c r="H76" i="2" s="1"/>
  <c r="F78" i="2"/>
  <c r="H78" i="2" s="1"/>
  <c r="F75" i="2" l="1"/>
  <c r="H75" i="2" s="1"/>
  <c r="F74" i="2"/>
  <c r="H74" i="2" s="1"/>
  <c r="F73" i="2"/>
  <c r="H73" i="2" s="1"/>
  <c r="F72" i="2" l="1"/>
  <c r="H72" i="2" s="1"/>
  <c r="F70" i="2" l="1"/>
  <c r="H70" i="2" s="1"/>
  <c r="F71" i="2"/>
  <c r="H71" i="2" s="1"/>
  <c r="F69" i="2"/>
  <c r="H69" i="2" s="1"/>
  <c r="F68" i="2"/>
  <c r="H68" i="2" s="1"/>
  <c r="F67" i="2"/>
  <c r="H67" i="2" s="1"/>
  <c r="G60" i="2" l="1"/>
  <c r="F66" i="2" l="1"/>
  <c r="H66" i="2" s="1"/>
  <c r="F65" i="2"/>
  <c r="H65" i="2" s="1"/>
  <c r="G18" i="2" l="1"/>
  <c r="G237" i="3" l="1"/>
  <c r="G236" i="3"/>
  <c r="G235" i="3"/>
  <c r="G234" i="3"/>
  <c r="G233" i="3"/>
  <c r="G232" i="3"/>
  <c r="G231" i="3"/>
  <c r="G22" i="2" l="1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F26" i="2" l="1"/>
  <c r="F27" i="2"/>
  <c r="H27" i="2" s="1"/>
  <c r="F28" i="2"/>
  <c r="H28" i="2" s="1"/>
  <c r="F29" i="2"/>
  <c r="H29" i="2" s="1"/>
  <c r="F46" i="2"/>
  <c r="H46" i="2" s="1"/>
  <c r="F45" i="2"/>
  <c r="H45" i="2" s="1"/>
  <c r="F44" i="2"/>
  <c r="H44" i="2" s="1"/>
  <c r="F42" i="2"/>
  <c r="H42" i="2" s="1"/>
  <c r="F40" i="2"/>
  <c r="H40" i="2" s="1"/>
  <c r="F39" i="2"/>
  <c r="H39" i="2" s="1"/>
  <c r="F36" i="2"/>
  <c r="H36" i="2" s="1"/>
  <c r="F47" i="2" l="1"/>
  <c r="H47" i="2" s="1"/>
  <c r="F48" i="2"/>
  <c r="H48" i="2" s="1"/>
  <c r="F49" i="2"/>
  <c r="H49" i="2" s="1"/>
  <c r="F50" i="2"/>
  <c r="H50" i="2" s="1"/>
  <c r="F51" i="2"/>
  <c r="H51" i="2" s="1"/>
  <c r="F52" i="2"/>
  <c r="H52" i="2" s="1"/>
  <c r="F53" i="2"/>
  <c r="H53" i="2" s="1"/>
  <c r="F54" i="2"/>
  <c r="H54" i="2" s="1"/>
  <c r="F55" i="2"/>
  <c r="H55" i="2" s="1"/>
  <c r="F56" i="2"/>
  <c r="H56" i="2" s="1"/>
  <c r="F57" i="2"/>
  <c r="H57" i="2" s="1"/>
  <c r="F58" i="2"/>
  <c r="H58" i="2" s="1"/>
  <c r="F59" i="2"/>
  <c r="H59" i="2" s="1"/>
  <c r="F60" i="2"/>
  <c r="H60" i="2" s="1"/>
  <c r="F61" i="2"/>
  <c r="H61" i="2" s="1"/>
  <c r="F62" i="2"/>
  <c r="H62" i="2" s="1"/>
  <c r="F63" i="2"/>
  <c r="H63" i="2" s="1"/>
  <c r="F64" i="2"/>
  <c r="H64" i="2" s="1"/>
  <c r="F43" i="2" l="1"/>
  <c r="H43" i="2" s="1"/>
  <c r="F41" i="2"/>
  <c r="H41" i="2" s="1"/>
  <c r="F38" i="2"/>
  <c r="H38" i="2" s="1"/>
  <c r="F37" i="2"/>
  <c r="H37" i="2" s="1"/>
  <c r="F35" i="2"/>
  <c r="H35" i="2" s="1"/>
  <c r="F34" i="2"/>
  <c r="H34" i="2" s="1"/>
  <c r="F33" i="2"/>
  <c r="H33" i="2" s="1"/>
  <c r="F32" i="2"/>
  <c r="H32" i="2" s="1"/>
  <c r="F31" i="2"/>
  <c r="H31" i="2" s="1"/>
  <c r="F30" i="2"/>
  <c r="H30" i="2" s="1"/>
  <c r="F25" i="2"/>
  <c r="H25" i="2" s="1"/>
  <c r="F24" i="2"/>
  <c r="H24" i="2" s="1"/>
  <c r="F23" i="2"/>
  <c r="H23" i="2" s="1"/>
  <c r="F22" i="2"/>
  <c r="H22" i="2" s="1"/>
  <c r="F21" i="2"/>
  <c r="H21" i="2" s="1"/>
  <c r="H20" i="2"/>
  <c r="F19" i="2"/>
  <c r="H19" i="2" s="1"/>
  <c r="F18" i="2"/>
  <c r="H18" i="2" s="1"/>
  <c r="F17" i="2"/>
  <c r="H17" i="2" s="1"/>
  <c r="F16" i="2"/>
  <c r="H16" i="2" s="1"/>
  <c r="F15" i="2"/>
  <c r="H15" i="2" s="1"/>
  <c r="F14" i="2"/>
  <c r="H14" i="2" s="1"/>
  <c r="F13" i="2"/>
  <c r="H13" i="2" s="1"/>
  <c r="F12" i="2"/>
  <c r="H12" i="2" s="1"/>
  <c r="F11" i="2"/>
  <c r="H11" i="2" s="1"/>
  <c r="F10" i="2"/>
  <c r="H10" i="2" s="1"/>
  <c r="F9" i="2"/>
  <c r="H9" i="2" s="1"/>
  <c r="F8" i="2"/>
  <c r="H8" i="2" s="1"/>
  <c r="F7" i="2"/>
  <c r="H7" i="2" s="1"/>
  <c r="F6" i="2"/>
  <c r="H6" i="2" s="1"/>
</calcChain>
</file>

<file path=xl/sharedStrings.xml><?xml version="1.0" encoding="utf-8"?>
<sst xmlns="http://schemas.openxmlformats.org/spreadsheetml/2006/main" count="1266" uniqueCount="422">
  <si>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</si>
  <si>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</si>
  <si>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</si>
  <si>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</si>
  <si>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</si>
  <si>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</si>
  <si>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</si>
  <si>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</si>
  <si>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</si>
  <si>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</si>
  <si>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</si>
  <si>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</si>
  <si>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5/21/2020</t>
  </si>
  <si>
    <t>7/18/2020</t>
  </si>
  <si>
    <t>7/29/2020</t>
  </si>
  <si>
    <t>First Order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</si>
  <si>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</si>
  <si>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</si>
  <si>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</si>
  <si>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</si>
  <si>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</si>
  <si>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</si>
  <si>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</si>
  <si>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</si>
  <si>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</si>
  <si>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</si>
  <si>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</si>
  <si>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</si>
  <si>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</si>
  <si>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</si>
  <si>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</si>
  <si>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</si>
  <si>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</si>
  <si>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</si>
  <si>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</si>
  <si>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</si>
  <si>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</si>
  <si>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</si>
  <si>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</si>
  <si>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</si>
  <si>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</si>
  <si>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</si>
  <si>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</si>
  <si>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</si>
  <si>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</si>
  <si>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</si>
  <si>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</si>
  <si>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</si>
  <si>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</si>
  <si>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</si>
  <si>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</si>
  <si>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</si>
  <si>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</si>
  <si>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</si>
  <si>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</si>
  <si>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</si>
  <si>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</si>
  <si>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</si>
  <si>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</si>
  <si>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</si>
  <si>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</si>
  <si>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</si>
  <si>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</si>
  <si>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</si>
  <si>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</si>
  <si>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</si>
  <si>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</si>
  <si>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</si>
  <si>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</si>
  <si>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</si>
  <si>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</si>
  <si>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</si>
  <si>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</si>
  <si>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</si>
  <si>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</si>
  <si>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</si>
  <si>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</si>
  <si>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</si>
  <si>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</si>
  <si>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</si>
  <si>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</si>
  <si>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</si>
  <si>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</si>
  <si>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</si>
  <si>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</si>
  <si>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</si>
  <si>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</si>
  <si>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</si>
  <si>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</si>
  <si>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</si>
  <si>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</si>
  <si>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</si>
  <si>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</si>
  <si>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</si>
  <si>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</si>
  <si>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</si>
  <si>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</si>
  <si>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</si>
  <si>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</si>
  <si>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</si>
  <si>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</si>
  <si>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</si>
  <si>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</si>
  <si>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</si>
  <si>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</si>
  <si>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</si>
  <si>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</si>
  <si>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</si>
  <si>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</si>
  <si>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</si>
  <si>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</si>
  <si>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</si>
  <si>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</si>
  <si>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</si>
  <si>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</si>
  <si>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</si>
  <si>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</si>
  <si>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</si>
  <si>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</si>
  <si>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</si>
  <si>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</si>
  <si>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</si>
  <si>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</si>
  <si>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</si>
  <si>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</si>
  <si>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</si>
  <si>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</si>
  <si>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</si>
  <si>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</si>
  <si>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</si>
  <si>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</si>
  <si>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</si>
  <si>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</si>
  <si>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</si>
  <si>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</si>
  <si>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</si>
  <si>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</si>
  <si>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</si>
  <si>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</si>
  <si>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</si>
  <si>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</si>
  <si>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</si>
  <si>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</si>
  <si>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</si>
  <si>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</si>
  <si>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</si>
  <si>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</si>
  <si>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</si>
  <si>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</si>
  <si>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</si>
  <si>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</si>
  <si>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</si>
  <si>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</si>
  <si>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</si>
  <si>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</si>
  <si>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</si>
  <si>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</si>
  <si>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</si>
  <si>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</si>
  <si>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</si>
  <si>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</si>
  <si>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</si>
  <si>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</si>
  <si>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</si>
  <si>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</si>
  <si>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</si>
  <si>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</si>
  <si>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</si>
  <si>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</si>
  <si>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</si>
  <si>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</si>
  <si>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</si>
  <si>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</si>
  <si>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</si>
  <si>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</si>
  <si>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</si>
  <si>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</si>
  <si>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</si>
  <si>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</si>
  <si>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</si>
  <si>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</si>
  <si>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</si>
  <si>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</si>
  <si>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</si>
  <si>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</si>
  <si>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</si>
  <si>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</si>
  <si>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</si>
  <si>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</si>
  <si>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重要用紙　失赤</t>
  </si>
  <si>
    <t>D-3 淡ピンク</t>
  </si>
  <si>
    <t>Width</t>
  </si>
  <si>
    <t>Length</t>
  </si>
  <si>
    <t>Total</t>
  </si>
  <si>
    <t>Paper Summary</t>
  </si>
  <si>
    <t>Index</t>
  </si>
  <si>
    <t>店頭用シール　金　赤口</t>
  </si>
  <si>
    <t>MC1000(5L) ピンク</t>
  </si>
  <si>
    <t>CLEANTOP 水色</t>
  </si>
  <si>
    <t>アルカチャレンジ　青</t>
  </si>
  <si>
    <t>8/4/2020</t>
  </si>
  <si>
    <t>8/6/2020</t>
  </si>
  <si>
    <t>13/12/2018</t>
  </si>
  <si>
    <t>4/6/2019</t>
  </si>
  <si>
    <t>UV161</t>
    <phoneticPr fontId="3"/>
  </si>
  <si>
    <t>3/18/2019</t>
    <phoneticPr fontId="3"/>
  </si>
  <si>
    <t>IJPマットコート</t>
  </si>
  <si>
    <t>Starting collect and complete the data</t>
  </si>
  <si>
    <t>Change Log</t>
  </si>
  <si>
    <t>Auto calibrating table size in pivotatable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</si>
  <si>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</si>
  <si>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</si>
  <si>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</si>
  <si>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</si>
  <si>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</si>
  <si>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</si>
  <si>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</si>
  <si>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</si>
  <si>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</si>
  <si>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</si>
  <si>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</si>
  <si>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</si>
  <si>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</si>
  <si>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</si>
  <si>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Last updated at</t>
  </si>
  <si>
    <t>8/19/2020</t>
  </si>
  <si>
    <t>New Pivot table, easy to check. Font size decreased</t>
  </si>
  <si>
    <t>8/20/2020</t>
  </si>
  <si>
    <t>8/26/2020</t>
  </si>
  <si>
    <t>8/24/2020</t>
  </si>
  <si>
    <t>Format remain ink cell color based on %</t>
  </si>
  <si>
    <t>8/31/2020</t>
  </si>
  <si>
    <t>D5-2557 緑</t>
  </si>
  <si>
    <t>9/8/2020</t>
  </si>
  <si>
    <t>9/10/2020</t>
  </si>
  <si>
    <t>9/10/2020</t>
    <phoneticPr fontId="3"/>
  </si>
  <si>
    <t>3/5/2020</t>
    <phoneticPr fontId="3"/>
  </si>
  <si>
    <t>9/24/2020</t>
    <phoneticPr fontId="3"/>
  </si>
  <si>
    <t>J 墨　S</t>
  </si>
  <si>
    <t>10/8/2020</t>
  </si>
  <si>
    <t>10/15/2020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</si>
  <si>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</si>
  <si>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</si>
  <si>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</si>
  <si>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</si>
  <si>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</si>
  <si>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</si>
  <si>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na</t>
  </si>
  <si>
    <t>11/09/2020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</si>
  <si>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</si>
  <si>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</si>
  <si>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</si>
  <si>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</si>
  <si>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</si>
  <si>
    <t>12/02/2020</t>
  </si>
  <si>
    <t>12/03/2020</t>
  </si>
  <si>
    <t>12/05/2020</t>
  </si>
  <si>
    <t>12/08/2020</t>
  </si>
  <si>
    <t>TWF55P16U5W</t>
  </si>
  <si>
    <t>12/11/2020</t>
  </si>
  <si>
    <t>11/20/2020</t>
  </si>
  <si>
    <t>12/19/2020</t>
  </si>
  <si>
    <t>24/12/2020</t>
  </si>
  <si>
    <t>Date</t>
  </si>
  <si>
    <t>Imported item</t>
  </si>
  <si>
    <t>Roller(set 2 items)</t>
  </si>
  <si>
    <t>Model</t>
  </si>
  <si>
    <t>264Lフートローラ着　ニューUVX30　58.000*38.000*264.000</t>
  </si>
  <si>
    <t>264Lフートローラ着　ニューUVX30　56.000*38.000*264.000</t>
  </si>
  <si>
    <t>Added tab ’Others' for  recording machine's periferals</t>
  </si>
  <si>
    <t>12/24/2020</t>
  </si>
  <si>
    <t>05/01/2021</t>
  </si>
  <si>
    <t>change Pivot table 's title from 'Paper summary' to present date</t>
  </si>
  <si>
    <t>13/1/2021</t>
  </si>
  <si>
    <t>16/1/2021</t>
  </si>
  <si>
    <t>ユカタ　金赤</t>
  </si>
  <si>
    <t>22/1/2021</t>
  </si>
  <si>
    <t>21/1/2021</t>
  </si>
  <si>
    <t>28/1/2021</t>
  </si>
  <si>
    <t>2/2/2021</t>
  </si>
  <si>
    <t>2/1/2021</t>
  </si>
  <si>
    <t>PET50Sマット MP1 110HS</t>
  </si>
  <si>
    <t>1/25/2021</t>
  </si>
  <si>
    <t>6/4/2019</t>
  </si>
  <si>
    <t>テクノクリア　5LX4 青</t>
  </si>
  <si>
    <t>2/5/2021</t>
  </si>
  <si>
    <t>2/10/2021</t>
  </si>
  <si>
    <t>2/12/2021</t>
  </si>
  <si>
    <t>Adding storage data</t>
  </si>
  <si>
    <t>Item</t>
  </si>
  <si>
    <t>Production Date</t>
  </si>
  <si>
    <t>No. of order last year</t>
  </si>
  <si>
    <t>TECHNO CLEAR N</t>
  </si>
  <si>
    <t>アルカチャレンジ　JX</t>
  </si>
  <si>
    <t>No. of parts</t>
  </si>
  <si>
    <t>Box Name</t>
  </si>
  <si>
    <t>01</t>
  </si>
  <si>
    <t>MU-M750L</t>
  </si>
  <si>
    <t>Size</t>
  </si>
  <si>
    <t>一本</t>
  </si>
  <si>
    <t>エコマックスAN-10</t>
  </si>
  <si>
    <t>ナウディ CL - 2020</t>
  </si>
  <si>
    <t>サンフレンド PR</t>
  </si>
  <si>
    <t>エコマックス KB</t>
  </si>
  <si>
    <t>スカットール</t>
  </si>
  <si>
    <t>エルモアEL-88</t>
  </si>
  <si>
    <t>スムースファミトン</t>
  </si>
  <si>
    <t>ハンドソープ</t>
  </si>
  <si>
    <t>エストラル OB-01</t>
  </si>
  <si>
    <t>リンス剤 RS-100</t>
  </si>
  <si>
    <t>エコティスパウダー</t>
  </si>
  <si>
    <t>アスティオンUP-55</t>
  </si>
  <si>
    <t xml:space="preserve"> 外から見えにくい</t>
  </si>
  <si>
    <t>カイトコイン用洗剤</t>
  </si>
  <si>
    <t>ルピランソフター</t>
  </si>
  <si>
    <t>テクノウォシュ</t>
  </si>
  <si>
    <t>アーネスEC-10</t>
  </si>
  <si>
    <t>A-860</t>
  </si>
  <si>
    <t>サンレックスコンク</t>
  </si>
  <si>
    <t>Price</t>
  </si>
  <si>
    <t>Order No.</t>
  </si>
  <si>
    <t>Order Qty</t>
  </si>
  <si>
    <t>Made Qty.</t>
  </si>
  <si>
    <t>ネオレートPH-150(22kg)</t>
  </si>
  <si>
    <t>2/17/2021</t>
  </si>
  <si>
    <t>サンレックス 3.5</t>
  </si>
  <si>
    <t>1</t>
  </si>
  <si>
    <t>2</t>
  </si>
  <si>
    <t>バリガード4(4x4kg)</t>
  </si>
  <si>
    <t>バリガード4(4kg)</t>
  </si>
  <si>
    <t>2/19/2021</t>
  </si>
  <si>
    <t>R-8169(10kg)</t>
  </si>
  <si>
    <t>3/3/2021</t>
  </si>
  <si>
    <t>D91 青</t>
  </si>
  <si>
    <t>3/4/2021</t>
  </si>
  <si>
    <t>3/9/2021</t>
  </si>
  <si>
    <t>3/18/2021</t>
  </si>
  <si>
    <t>J シール用D2589水色</t>
  </si>
  <si>
    <t>3/23/2021</t>
  </si>
  <si>
    <t>4/8/2021</t>
    <phoneticPr fontId="3"/>
  </si>
  <si>
    <t>4/3/2021</t>
    <phoneticPr fontId="3"/>
  </si>
  <si>
    <t>3/31/2021</t>
    <phoneticPr fontId="3"/>
  </si>
  <si>
    <t>3/18/2021</t>
    <phoneticPr fontId="3"/>
  </si>
  <si>
    <t>4/14/2021</t>
    <phoneticPr fontId="3"/>
  </si>
  <si>
    <t>4/13/2021</t>
    <phoneticPr fontId="3"/>
  </si>
  <si>
    <t>アート＜７３＞メモリー　訂正 80H</t>
  </si>
  <si>
    <t>アート＜７３＞メモリー　訂正 80H</t>
    <rPh sb="12" eb="14">
      <t>テイセイ</t>
    </rPh>
    <phoneticPr fontId="3"/>
  </si>
  <si>
    <t>4/16/2021</t>
    <phoneticPr fontId="3"/>
  </si>
  <si>
    <t>4/27/2021</t>
    <phoneticPr fontId="3"/>
  </si>
  <si>
    <t>5/13/2021</t>
    <phoneticPr fontId="3"/>
  </si>
  <si>
    <t>5/19/2021</t>
    <phoneticPr fontId="3"/>
  </si>
  <si>
    <t>5/17/2021</t>
    <phoneticPr fontId="3"/>
  </si>
  <si>
    <t>5/24/2021</t>
    <phoneticPr fontId="3"/>
  </si>
  <si>
    <t>5/27/2021</t>
    <phoneticPr fontId="3"/>
  </si>
  <si>
    <t>6/02/2021</t>
    <phoneticPr fontId="3"/>
  </si>
  <si>
    <t>06/04/2021</t>
    <phoneticPr fontId="3"/>
  </si>
  <si>
    <t>06/08/2021</t>
    <phoneticPr fontId="3"/>
  </si>
  <si>
    <t>06/24/2021</t>
    <phoneticPr fontId="3"/>
  </si>
  <si>
    <t>06/29/2021</t>
    <phoneticPr fontId="3"/>
  </si>
  <si>
    <t>06/11/2021</t>
    <phoneticPr fontId="3"/>
  </si>
  <si>
    <t>カイトコイン　ピンク</t>
    <phoneticPr fontId="3"/>
  </si>
  <si>
    <t>07/03/2021</t>
    <phoneticPr fontId="3"/>
  </si>
  <si>
    <t>07/07/2021</t>
    <phoneticPr fontId="3"/>
  </si>
  <si>
    <t>07/08/2021</t>
    <phoneticPr fontId="3"/>
  </si>
  <si>
    <t>07/14/2021</t>
    <phoneticPr fontId="3"/>
  </si>
  <si>
    <t>07/17/2021</t>
    <phoneticPr fontId="3"/>
  </si>
  <si>
    <t>07/20/2021</t>
    <phoneticPr fontId="3"/>
  </si>
  <si>
    <t>07/30/2021</t>
    <phoneticPr fontId="3"/>
  </si>
  <si>
    <t>08/05/2021</t>
    <phoneticPr fontId="3"/>
  </si>
  <si>
    <t>08/18/2021</t>
    <phoneticPr fontId="3"/>
  </si>
  <si>
    <t>08/25/2021</t>
    <phoneticPr fontId="3"/>
  </si>
  <si>
    <t>09/2/2021</t>
    <phoneticPr fontId="3"/>
  </si>
  <si>
    <t>PW 8E&lt;90&gt;</t>
  </si>
  <si>
    <t>PW 8E&lt;90&gt;</t>
    <phoneticPr fontId="3"/>
  </si>
  <si>
    <t>09/06/2021</t>
    <phoneticPr fontId="3"/>
  </si>
  <si>
    <t>09/14/2021</t>
    <phoneticPr fontId="3"/>
  </si>
  <si>
    <t>09/15/2021</t>
    <phoneticPr fontId="3"/>
  </si>
  <si>
    <t>09/24/2021</t>
    <phoneticPr fontId="3"/>
  </si>
  <si>
    <t>09/30/2021</t>
    <phoneticPr fontId="3"/>
  </si>
  <si>
    <t>10/06/2021</t>
    <phoneticPr fontId="3"/>
  </si>
  <si>
    <t>10/20/2021</t>
    <phoneticPr fontId="3"/>
  </si>
  <si>
    <t>10/22/2021</t>
    <phoneticPr fontId="3"/>
  </si>
  <si>
    <t>11/06/2021</t>
    <phoneticPr fontId="3"/>
  </si>
  <si>
    <t>11/10/2021</t>
    <phoneticPr fontId="3"/>
  </si>
  <si>
    <t>11/18/2021</t>
    <phoneticPr fontId="3"/>
  </si>
  <si>
    <t>11/30/2021</t>
    <phoneticPr fontId="3"/>
  </si>
  <si>
    <t>11/30/2021</t>
    <phoneticPr fontId="3"/>
  </si>
  <si>
    <t>12/01/2021</t>
    <phoneticPr fontId="3"/>
  </si>
  <si>
    <t>UV161</t>
    <phoneticPr fontId="3"/>
  </si>
  <si>
    <t>12/14/2021</t>
  </si>
  <si>
    <t>01/17/2022</t>
    <phoneticPr fontId="3"/>
  </si>
  <si>
    <t>01/20/2022</t>
    <phoneticPr fontId="3"/>
  </si>
  <si>
    <t>Location Index</t>
  </si>
  <si>
    <t>Type</t>
  </si>
  <si>
    <t xml:space="preserve">← Type &amp; Hit Enter for Searching </t>
  </si>
  <si>
    <t>02/22/2022</t>
    <phoneticPr fontId="3"/>
  </si>
  <si>
    <t>Rolls</t>
  </si>
  <si>
    <t>上質</t>
  </si>
  <si>
    <t>上質55 ME 80E</t>
  </si>
  <si>
    <t>上質&lt;55&gt;PC 7GB</t>
  </si>
  <si>
    <t>上質&lt;70&gt; ME 7GB</t>
  </si>
  <si>
    <t>上質&lt;55&gt;ME 7GB</t>
  </si>
  <si>
    <t>上質&lt;55&gt; ME 7GB</t>
  </si>
  <si>
    <t>ユポ80 MD 8GB</t>
  </si>
  <si>
    <t>キャスト&lt;73&gt;ME80E</t>
  </si>
  <si>
    <t>/a</t>
  </si>
  <si>
    <t xml:space="preserve"> 上質&lt;55&gt;ME 7GB</t>
  </si>
  <si>
    <t xml:space="preserve"> 上質&lt;55&gt;ME 80E</t>
  </si>
  <si>
    <t>SLアート/P91/g7B</t>
  </si>
  <si>
    <t>a</t>
  </si>
  <si>
    <t xml:space="preserve"> アート７３ME７GB</t>
  </si>
  <si>
    <t>キャスト&lt;73&gt;ME80E -a</t>
  </si>
  <si>
    <t xml:space="preserve">キャスト&lt;73&gt;ME80E </t>
  </si>
  <si>
    <t>上質&lt;55＞ME 80E</t>
  </si>
  <si>
    <t>3/10/?</t>
  </si>
  <si>
    <r>
      <t xml:space="preserve">DIC83 </t>
    </r>
    <r>
      <rPr>
        <sz val="16"/>
        <color theme="1"/>
        <rFont val="ＭＳ Ｐゴシック"/>
        <family val="3"/>
        <charset val="128"/>
      </rPr>
      <t>ドライバリガードオレンジ</t>
    </r>
  </si>
  <si>
    <r>
      <t>J</t>
    </r>
    <r>
      <rPr>
        <sz val="16"/>
        <color theme="1"/>
        <rFont val="ＭＳ Ｐゴシック"/>
        <family val="3"/>
        <charset val="128"/>
      </rPr>
      <t>　シール用　D2175　水色</t>
    </r>
  </si>
  <si>
    <r>
      <t>UV</t>
    </r>
    <r>
      <rPr>
        <sz val="16"/>
        <color theme="1"/>
        <rFont val="ＭＳ Ｐゴシック"/>
        <family val="3"/>
        <charset val="128"/>
      </rPr>
      <t>カット　紺　</t>
    </r>
    <r>
      <rPr>
        <sz val="16"/>
        <color theme="1"/>
        <rFont val="Fira Code Regular"/>
      </rPr>
      <t>500238</t>
    </r>
  </si>
  <si>
    <r>
      <rPr>
        <sz val="16"/>
        <color theme="1"/>
        <rFont val="Fira Code"/>
        <family val="3"/>
      </rPr>
      <t>インステゥルメントミルク</t>
    </r>
    <r>
      <rPr>
        <sz val="16"/>
        <color theme="1"/>
        <rFont val="Fira Code Regular"/>
      </rPr>
      <t>　黄</t>
    </r>
  </si>
  <si>
    <r>
      <t xml:space="preserve">J </t>
    </r>
    <r>
      <rPr>
        <sz val="16"/>
        <color theme="1"/>
        <rFont val="ＭＳ Ｐゴシック"/>
        <family val="3"/>
        <charset val="128"/>
      </rPr>
      <t>シール用　要冷蔵シール　茶</t>
    </r>
  </si>
  <si>
    <r>
      <t xml:space="preserve">J </t>
    </r>
    <r>
      <rPr>
        <sz val="16"/>
        <color theme="1"/>
        <rFont val="ＭＳ Ｐゴシック"/>
        <family val="3"/>
        <charset val="128"/>
      </rPr>
      <t>シール用</t>
    </r>
    <r>
      <rPr>
        <sz val="16"/>
        <color theme="1"/>
        <rFont val="Fira Code Regular"/>
      </rPr>
      <t>D2067</t>
    </r>
    <r>
      <rPr>
        <sz val="16"/>
        <color theme="1"/>
        <rFont val="ＭＳ Ｐゴシック"/>
        <family val="3"/>
        <charset val="128"/>
      </rPr>
      <t>　肌色</t>
    </r>
  </si>
  <si>
    <r>
      <rPr>
        <sz val="16"/>
        <color theme="1"/>
        <rFont val="ＭＳ Ｐゴシック"/>
        <family val="3"/>
        <charset val="128"/>
      </rPr>
      <t>　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</si>
</sst>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(* #,##0.00_);_(* \(#,##0.00\);_(* &quot;-&quot;??_);_(@_)"/>
    <numFmt numFmtId="164" formatCode="[$-409]m/d/yyyy\ h:mm\ AM/PM;@"/>
    <numFmt numFmtId="165" formatCode="[$-409]m/d/yy\ h:mm\ AM/PM;@"/>
    <numFmt numFmtId="166" formatCode="yyyy\-mm\-dd;@"/>
    <numFmt numFmtId="167" formatCode="_(* #,##0_);_(* \(#,##0\);_(* &quot;-&quot;??_);_(@_)"/>
    <numFmt numFmtId="168" formatCode="mmm/dd/yyyy\ h:mm;@"/>
  </numFmts>
  <fonts count="18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theme="1"/>
      <name val="Calibri"/>
      <family val="2"/>
    </font>
    <font>
      <sz val="8"/>
      <name val="Tsukushi A Round Gothic Bold"/>
      <family val="3"/>
      <charset val="128"/>
    </font>
    <font>
      <sz val="18"/>
      <color rgb="FF000000"/>
      <name val="Calibri"/>
      <family val="2"/>
    </font>
    <font>
      <sz val="18"/>
      <color theme="1"/>
      <name val="SF Pro Text Regular"/>
    </font>
    <font>
      <b/>
      <sz val="18"/>
      <color theme="1"/>
      <name val="SF Pro Text Regular"/>
    </font>
    <font>
      <sz val="16"/>
      <color theme="1"/>
      <name val="Fira Code"/>
      <family val="3"/>
    </font>
    <font>
      <sz val="16"/>
      <color rgb="FF000000"/>
      <name val="Fira Code"/>
      <charset val="1"/>
    </font>
    <font>
      <sz val="16"/>
      <color theme="1"/>
      <name val="MS Mincho"/>
      <family val="1"/>
      <charset val="128"/>
    </font>
    <font>
      <sz val="16"/>
      <color theme="1"/>
      <name val="Fira Code Regular"/>
    </font>
    <font>
      <sz val="16"/>
      <color theme="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000000"/>
      </top>
      <bottom/>
      <diagonal/>
    </border>
  </borders>
  <cellStyleXfs count="2">
    <xf numFmtId="0" fontId="0" fillId="0" borderId="0"/>
    <xf numFmtId="43" fontId="13" fillId="0" borderId="0" applyFont="0" applyFill="0" applyBorder="0" applyAlignment="0" applyProtection="0"/>
  </cellStyleXfs>
  <cellXfs count="47">
    <xf numFmtId="0" fontId="0" fillId="0" borderId="0" xfId="0"/>
    <xf numFmtId="0" fontId="1" fillId="0" borderId="0" xfId="0" applyFont="1"/>
    <xf numFmtId="14" fontId="0" fillId="0" borderId="0" xfId="0" applyNumberFormat="1"/>
    <xf numFmtId="0" fontId="2" fillId="0" borderId="0" xfId="0" applyFont="1"/>
    <xf numFmtId="14" fontId="2" fillId="0" borderId="0" xfId="0" applyNumberFormat="1" applyFont="1"/>
    <xf numFmtId="0" fontId="0" fillId="0" borderId="2" xfId="0" applyBorder="1" applyAlignment="1">
      <alignment horizontal="left"/>
    </xf>
    <xf numFmtId="0" fontId="0" fillId="0" borderId="2" xfId="0" applyBorder="1"/>
    <xf numFmtId="0" fontId="0" fillId="0" borderId="2" xfId="0" pivotButton="1" applyBorder="1" applyAlignment="1">
      <alignment horizontal="center"/>
    </xf>
    <xf numFmtId="49" fontId="6" fillId="0" borderId="0" xfId="0" applyNumberFormat="1" applyFont="1"/>
    <xf numFmtId="0" fontId="6" fillId="0" borderId="0" xfId="0" applyFont="1"/>
    <xf numFmtId="49" fontId="7" fillId="4" borderId="6" xfId="0" applyNumberFormat="1" applyFont="1" applyFill="1" applyBorder="1"/>
    <xf numFmtId="164" fontId="6" fillId="0" borderId="0" xfId="0" applyNumberFormat="1" applyFont="1"/>
    <xf numFmtId="0" fontId="8" fillId="0" borderId="0" xfId="0" applyFont="1"/>
    <xf numFmtId="0" fontId="0" fillId="0" borderId="0" xfId="0" applyAlignment="1">
      <alignment horizontal="left" vertical="center"/>
    </xf>
    <xf numFmtId="14" fontId="0" fillId="0" borderId="7" xfId="0" applyNumberFormat="1" applyBorder="1" applyAlignment="1">
      <alignment horizontal="left" vertical="center"/>
    </xf>
    <xf numFmtId="0" fontId="0" fillId="0" borderId="8" xfId="0" applyBorder="1" applyAlignment="1">
      <alignment horizontal="left" vertical="center" wrapText="1"/>
    </xf>
    <xf numFmtId="0" fontId="0" fillId="0" borderId="7" xfId="0" applyBorder="1" applyAlignment="1">
      <alignment horizontal="left" vertical="center"/>
    </xf>
    <xf numFmtId="0" fontId="0" fillId="0" borderId="9" xfId="0" applyBorder="1" applyAlignment="1">
      <alignment horizontal="left" vertical="center" wrapText="1"/>
    </xf>
    <xf numFmtId="0" fontId="0" fillId="0" borderId="10" xfId="0" applyBorder="1" applyAlignment="1">
      <alignment horizontal="left" vertical="center" wrapText="1"/>
    </xf>
    <xf numFmtId="0" fontId="6" fillId="0" borderId="0" xfId="0" applyFont="1" applyAlignment="1">
      <alignment horizontal="left" vertical="center"/>
    </xf>
    <xf numFmtId="0" fontId="11" fillId="0" borderId="0" xfId="0" applyFont="1"/>
    <xf numFmtId="49" fontId="11" fillId="0" borderId="0" xfId="0" applyNumberFormat="1" applyFont="1"/>
    <xf numFmtId="0" fontId="12" fillId="0" borderId="0" xfId="0" applyFont="1"/>
    <xf numFmtId="167" fontId="11" fillId="0" borderId="0" xfId="1" applyNumberFormat="1" applyFont="1" applyAlignment="1"/>
    <xf numFmtId="168" fontId="0" fillId="0" borderId="0" xfId="0" applyNumberFormat="1"/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/>
    </xf>
    <xf numFmtId="166" fontId="6" fillId="0" borderId="0" xfId="0" applyNumberFormat="1" applyFont="1" applyAlignment="1">
      <alignment horizontal="righ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0" fillId="0" borderId="2" xfId="0" applyNumberFormat="1" applyBorder="1"/>
    <xf numFmtId="49" fontId="15" fillId="0" borderId="0" xfId="0" applyNumberFormat="1" applyFont="1" applyAlignment="1">
      <alignment vertical="center"/>
    </xf>
    <xf numFmtId="0" fontId="15" fillId="0" borderId="0" xfId="0" applyFont="1" applyAlignment="1">
      <alignment vertical="center"/>
    </xf>
    <xf numFmtId="0" fontId="15" fillId="5" borderId="0" xfId="0" applyFont="1" applyFill="1" applyAlignment="1">
      <alignment vertical="center"/>
    </xf>
    <xf numFmtId="49" fontId="15" fillId="0" borderId="11" xfId="0" applyNumberFormat="1" applyFont="1" applyBorder="1" applyAlignment="1">
      <alignment vertical="center"/>
    </xf>
    <xf numFmtId="0" fontId="15" fillId="0" borderId="12" xfId="0" applyFont="1" applyBorder="1" applyAlignment="1">
      <alignment vertical="center"/>
    </xf>
    <xf numFmtId="0" fontId="16" fillId="0" borderId="0" xfId="0" applyFont="1" applyAlignment="1">
      <alignment horizontal="left" vertical="center"/>
    </xf>
    <xf numFmtId="14" fontId="16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0" fillId="0" borderId="0" xfId="0" applyFont="1" applyAlignment="1">
      <alignment horizontal="left" vertical="center"/>
    </xf>
    <xf numFmtId="0" fontId="0" fillId="0" borderId="0" xfId="0" applyFont="1"/>
    <xf numFmtId="0" fontId="17" fillId="3" borderId="2" xfId="0" applyFont="1" applyFill="1" applyBorder="1" applyAlignment="1">
      <alignment horizontal="left" vertical="center"/>
    </xf>
    <xf numFmtId="0" fontId="16" fillId="3" borderId="2" xfId="0" applyFont="1" applyFill="1" applyBorder="1" applyAlignment="1">
      <alignment horizontal="left" vertical="center"/>
    </xf>
    <xf numFmtId="165" fontId="16" fillId="0" borderId="0" xfId="0" applyNumberFormat="1" applyFont="1" applyAlignment="1">
      <alignment horizontal="right" vertical="center"/>
    </xf>
    <xf numFmtId="0" fontId="16" fillId="2" borderId="1" xfId="0" applyFont="1" applyFill="1" applyBorder="1" applyAlignment="1">
      <alignment horizontal="left" vertical="center"/>
    </xf>
    <xf numFmtId="0" fontId="16" fillId="2" borderId="3" xfId="0" applyFont="1" applyFill="1" applyBorder="1" applyAlignment="1">
      <alignment horizontal="left" vertical="center"/>
    </xf>
    <xf numFmtId="0" fontId="16" fillId="2" borderId="13" xfId="0" applyFont="1" applyFill="1" applyBorder="1" applyAlignment="1">
      <alignment horizontal="left" vertical="center"/>
    </xf>
  </cellXfs>
  <cellStyles count="2">
    <cellStyle name="Comma" xfId="1" builtinId="3"/>
    <cellStyle name="Normal" xfId="0" builtinId="0"/>
  </cellStyles>
  <dxfs count="48">
    <dxf>
      <border>
        <horizontal style="thin">
          <color indexed="64"/>
        </horizont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 Regular"/>
        <scheme val="none"/>
      </font>
      <numFmt numFmtId="169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MS Mincho"/>
        <family val="1"/>
        <charset val="128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MS Mincho"/>
        <family val="1"/>
        <charset val="128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MS Mincho"/>
        <family val="1"/>
        <charset val="128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MS Mincho"/>
        <family val="1"/>
        <charset val="128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MS Mincho"/>
        <family val="1"/>
        <charset val="128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MS Mincho"/>
        <family val="1"/>
        <charset val="128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MS Mincho"/>
        <family val="1"/>
        <charset val="128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MS Mincho"/>
        <family val="1"/>
        <charset val="128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numFmt numFmtId="30" formatCode="@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numFmt numFmtId="167" formatCode="_(* #,##0_);_(* \(#,##0\);_(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SF Pro Text Regular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670560</xdr:colOff>
          <xdr:row>2</xdr:row>
          <xdr:rowOff>213360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2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/>
                  <a:ea typeface="Fira Code"/>
                  <a:cs typeface="Fira Code"/>
                </a:rPr>
                <a:t>Make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139700</xdr:rowOff>
        </xdr:from>
        <xdr:to>
          <xdr:col>5</xdr:col>
          <xdr:colOff>40640</xdr:colOff>
          <xdr:row>2</xdr:row>
          <xdr:rowOff>213360</xdr:rowOff>
        </xdr:to>
        <xdr:sp macro="" textlink="">
          <xdr:nvSpPr>
            <xdr:cNvPr id="63490" name="Button 2" descr="Scroll Bottom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2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Scroll bottom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158.746279629631" createdVersion="3" refreshedVersion="8" minRefreshableVersion="3" recordCount="270" xr:uid="{88B8F4F6-7898-9C4A-BA75-963792C0AC64}">
  <cacheSource type="worksheet">
    <worksheetSource ref="A5:I275" sheet="InStock"/>
  </cacheSource>
  <cacheFields count="9">
    <cacheField name="Arrival" numFmtId="49">
      <sharedItems count="116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4/2020"/>
        <s v="10/19/2020"/>
        <s v="10/21/2020"/>
        <s v="10/22/2020"/>
        <s v="10/23/2020"/>
        <s v="a"/>
        <s v="11/09/2020"/>
        <s v="10/7/2020"/>
        <s v="11/19/2020"/>
        <s v="11/24/2020"/>
        <s v="11/26/2020"/>
        <s v="12/02/2020"/>
        <s v="12/03/2020"/>
        <s v="12/05/2020"/>
        <s v="12/08/2020"/>
        <s v="12/11/2020"/>
        <s v="11/20/2020"/>
        <s v="12/19/2020"/>
        <s v="12/24/2020"/>
        <s v="05/01/2021"/>
        <s v="13/1/2021"/>
        <s v="16/1/2021"/>
        <s v="22/1/2021"/>
        <s v="21/1/2021"/>
        <s v="28/1/2021"/>
        <s v="2/2/2021"/>
        <s v="2/1/2021"/>
        <s v="1/25/2021"/>
        <s v="6/4/2019"/>
        <s v="2/5/2021"/>
        <s v="2/10/2021"/>
        <s v="2/12/2021"/>
        <s v="2/17/2021"/>
        <s v="2/19/2021"/>
        <s v="3/3/2021"/>
        <s v="3/4/2021"/>
        <s v="3/9/2021"/>
        <s v="3/18/2021"/>
        <s v="3/23/2021"/>
        <s v="4/8/2021"/>
        <s v="4/3/2021"/>
        <s v="3/31/2021"/>
        <s v="4/14/2021"/>
        <s v="4/13/2021"/>
        <s v="4/16/2021"/>
        <s v="4/27/2021"/>
        <s v="5/13/2021"/>
        <s v="5/19/2021"/>
        <s v="5/17/2021"/>
        <s v="5/24/2021"/>
        <s v="5/27/2021"/>
        <s v="6/02/2021"/>
        <s v="06/04/2021"/>
        <s v="06/08/2021"/>
        <s v="06/24/2021"/>
        <s v="06/29/2021"/>
        <s v="06/11/2021"/>
        <s v="07/03/2021"/>
        <s v="07/07/2021"/>
        <s v="07/08/2021"/>
        <s v="07/14/2021"/>
        <s v="07/17/2021"/>
        <s v="07/20/2021"/>
        <s v="07/30/2021"/>
        <s v="08/05/2021"/>
        <s v="08/18/2021"/>
        <s v="08/25/2021"/>
        <s v="09/2/2021"/>
        <s v="09/06/2021"/>
        <s v="09/14/2021"/>
        <s v="09/15/2021"/>
        <s v="09/24/2021"/>
        <s v="09/30/2021"/>
        <s v="10/06/2021"/>
        <s v="10/20/2021"/>
        <s v="10/22/2021"/>
        <s v="11/06/2021"/>
        <s v="11/10/2021"/>
        <s v="11/18/2021"/>
        <s v="11/30/2021"/>
        <s v="12/01/2021"/>
        <s v="12/14/2021"/>
        <s v="01/17/2022"/>
        <s v="01/20/2022"/>
        <s v="02/22/2022"/>
      </sharedItems>
    </cacheField>
    <cacheField name="Specs" numFmtId="0">
      <sharedItems count="20">
        <s v="ユポ80 MD 8GB"/>
        <s v="上質"/>
        <s v="キャスト&lt;73&gt;ME80E"/>
        <s v="PET50Sマット MP1 110HS"/>
        <s v="上質55 ME 80E"/>
        <s v="IJPマットコート"/>
        <s v=" 上質&lt;55&gt;ME 7GB"/>
        <s v="上質&lt;55&gt;PC 7GB"/>
        <s v=" 上質&lt;55&gt;ME 80E"/>
        <s v="アート＜７３＞メモリー　訂正 80H"/>
        <s v="上質&lt;70&gt; ME 7GB"/>
        <s v="SLアート/P91/g7B"/>
        <s v=" アート７３ME７GB"/>
        <s v="TWF55P16U5W"/>
        <s v="上質&lt;55&gt;ME 7GB"/>
        <s v="キャスト&lt;73&gt;ME80E -a"/>
        <s v="キャスト&lt;73&gt;ME80E "/>
        <s v="PW 8E&lt;90&gt;"/>
        <s v="上質&lt;55＞ME 80E"/>
        <s v="上質&lt;55&gt; ME 7GB"/>
      </sharedItems>
    </cacheField>
    <cacheField name="Width" numFmtId="0">
      <sharedItems containsSemiMixedTypes="0" containsString="0" containsNumber="1" containsInteger="1" minValue="40" maxValue="220" count="21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10"/>
        <n v="110"/>
        <n v="105"/>
        <n v="220"/>
      </sharedItems>
    </cacheField>
    <cacheField name="Length" numFmtId="0">
      <sharedItems containsSemiMixedTypes="0" containsString="0" containsNumber="1" containsInteger="1" minValue="60" maxValue="1000" count="11">
        <n v="600"/>
        <n v="300"/>
        <n v="200"/>
        <n v="100"/>
        <n v="60"/>
        <n v="400"/>
        <n v="80"/>
        <n v="500"/>
        <n v="350"/>
        <n v="1000"/>
        <n v="550"/>
      </sharedItems>
    </cacheField>
    <cacheField name="Rolls" numFmtId="0">
      <sharedItems containsSemiMixedTypes="0" containsString="0" containsNumber="1" containsInteger="1" minValue="1" maxValue="3" count="3">
        <n v="1"/>
        <n v="2"/>
        <n v="3"/>
      </sharedItems>
    </cacheField>
    <cacheField name="Total" numFmtId="0">
      <sharedItems containsSemiMixedTypes="0" containsString="0" containsNumber="1" containsInteger="1" minValue="60" maxValue="1800" count="13">
        <n v="600"/>
        <n v="1200"/>
        <n v="300"/>
        <n v="200"/>
        <n v="100"/>
        <n v="60"/>
        <n v="400"/>
        <n v="80"/>
        <n v="500"/>
        <n v="350"/>
        <n v="1000"/>
        <n v="1800"/>
        <n v="1100"/>
      </sharedItems>
    </cacheField>
    <cacheField name="Used" numFmtId="0">
      <sharedItems containsString="0" containsBlank="1" containsNumber="1" containsInteger="1" minValue="0" maxValue="1800" count="24">
        <n v="600"/>
        <m/>
        <n v="400"/>
        <n v="0"/>
        <n v="570"/>
        <n v="180"/>
        <n v="70"/>
        <n v="500"/>
        <n v="480"/>
        <n v="300"/>
        <n v="580"/>
        <n v="200"/>
        <n v="100"/>
        <n v="585"/>
        <n v="380"/>
        <n v="320"/>
        <n v="10"/>
        <n v="350"/>
        <n v="250"/>
        <n v="80"/>
        <n v="1000"/>
        <n v="120"/>
        <n v="1800"/>
        <n v="1200"/>
      </sharedItems>
    </cacheField>
    <cacheField name="Remaining" numFmtId="0">
      <sharedItems containsSemiMixedTypes="0" containsString="0" containsNumber="1" containsInteger="1" minValue="0" maxValue="1100" count="21">
        <n v="0"/>
        <n v="600"/>
        <n v="200"/>
        <n v="800"/>
        <n v="9"/>
        <n v="300"/>
        <n v="30"/>
        <n v="20"/>
        <n v="130"/>
        <n v="100"/>
        <n v="120"/>
        <n v="60"/>
        <n v="15"/>
        <n v="80"/>
        <n v="290"/>
        <n v="500"/>
        <n v="350"/>
        <n v="520"/>
        <n v="400"/>
        <n v="180"/>
        <n v="1100"/>
      </sharedItems>
    </cacheField>
    <cacheField name="Index" numFmtId="0">
      <sharedItems count="42">
        <s v="ユポ80 MD 8GB185"/>
        <s v="ユポ80 MD 8GB205"/>
        <s v="上質150"/>
        <s v="ユポ80 MD 8GB90"/>
        <s v="ユポ80 MD 8GB155"/>
        <s v="キャスト&lt;73&gt;ME80E130"/>
        <s v="ユポ80 MD 8GB125"/>
        <s v="ユポ80 MD 8GB165"/>
        <s v="上質125"/>
        <s v="ユポ80 MD 8GB140"/>
        <s v="PET50Sマット MP1 110HS90"/>
        <s v="キャスト&lt;73&gt;ME80E90"/>
        <s v="上質55 ME 80E90"/>
        <s v="上質90"/>
        <s v="IJPマットコート135"/>
        <s v="PET50Sマット MP1 110HS120"/>
        <s v="ユポ80 MD 8GB215"/>
        <s v=" 上質&lt;55&gt;ME 7GB100"/>
        <s v="上質&lt;55&gt;PC 7GB100"/>
        <s v=" 上質&lt;55&gt;ME 80E175"/>
        <s v="アート＜７３＞メモリー　訂正 80H40"/>
        <s v="上質&lt;70&gt; ME 7GB160"/>
        <s v="ユポ80 MD 8GB115"/>
        <s v="アート＜７３＞メモリー　訂正 80H100"/>
        <s v="キャスト&lt;73&gt;ME80E140"/>
        <s v="SLアート/P91/g7B100"/>
        <s v="上質&lt;70&gt; ME 7GB90"/>
        <s v="上質&lt;70&gt; ME 7GB140"/>
        <s v=" アート７３ME７GB140"/>
        <s v="TWF55P16U5W210"/>
        <s v="キャスト&lt;73&gt;ME80E120"/>
        <s v="上質&lt;55&gt;ME 7GB130"/>
        <s v="PET50Sマット MP1 110HS110"/>
        <s v="PET50Sマット MP1 110HS115"/>
        <s v="キャスト&lt;73&gt;ME80E -a90"/>
        <s v="アート＜７３＞メモリー　訂正 80H105"/>
        <s v="キャスト&lt;73&gt;ME80E 90"/>
        <s v="上質&lt;70&gt; ME 7GB155"/>
        <s v="PW 8E&lt;90&gt;135"/>
        <s v="上質&lt;55＞ME 80E220"/>
        <s v="上質&lt;55&gt; ME 7GB130"/>
        <s v="キャスト&lt;73&gt;ME80E11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0">
  <r>
    <x v="0"/>
    <x v="0"/>
    <x v="0"/>
    <x v="0"/>
    <x v="0"/>
    <x v="0"/>
    <x v="0"/>
    <x v="0"/>
    <x v="0"/>
  </r>
  <r>
    <x v="1"/>
    <x v="0"/>
    <x v="0"/>
    <x v="0"/>
    <x v="0"/>
    <x v="0"/>
    <x v="0"/>
    <x v="0"/>
    <x v="0"/>
  </r>
  <r>
    <x v="2"/>
    <x v="0"/>
    <x v="1"/>
    <x v="0"/>
    <x v="0"/>
    <x v="0"/>
    <x v="0"/>
    <x v="0"/>
    <x v="1"/>
  </r>
  <r>
    <x v="3"/>
    <x v="0"/>
    <x v="0"/>
    <x v="0"/>
    <x v="0"/>
    <x v="0"/>
    <x v="0"/>
    <x v="0"/>
    <x v="0"/>
  </r>
  <r>
    <x v="4"/>
    <x v="1"/>
    <x v="2"/>
    <x v="0"/>
    <x v="0"/>
    <x v="0"/>
    <x v="1"/>
    <x v="1"/>
    <x v="2"/>
  </r>
  <r>
    <x v="5"/>
    <x v="0"/>
    <x v="3"/>
    <x v="0"/>
    <x v="0"/>
    <x v="0"/>
    <x v="2"/>
    <x v="2"/>
    <x v="3"/>
  </r>
  <r>
    <x v="6"/>
    <x v="0"/>
    <x v="4"/>
    <x v="0"/>
    <x v="0"/>
    <x v="0"/>
    <x v="3"/>
    <x v="1"/>
    <x v="4"/>
  </r>
  <r>
    <x v="7"/>
    <x v="0"/>
    <x v="0"/>
    <x v="0"/>
    <x v="0"/>
    <x v="0"/>
    <x v="0"/>
    <x v="0"/>
    <x v="0"/>
  </r>
  <r>
    <x v="8"/>
    <x v="2"/>
    <x v="5"/>
    <x v="0"/>
    <x v="1"/>
    <x v="1"/>
    <x v="2"/>
    <x v="3"/>
    <x v="5"/>
  </r>
  <r>
    <x v="9"/>
    <x v="0"/>
    <x v="6"/>
    <x v="0"/>
    <x v="0"/>
    <x v="0"/>
    <x v="2"/>
    <x v="2"/>
    <x v="6"/>
  </r>
  <r>
    <x v="10"/>
    <x v="0"/>
    <x v="7"/>
    <x v="0"/>
    <x v="0"/>
    <x v="0"/>
    <x v="0"/>
    <x v="0"/>
    <x v="7"/>
  </r>
  <r>
    <x v="10"/>
    <x v="0"/>
    <x v="4"/>
    <x v="0"/>
    <x v="0"/>
    <x v="0"/>
    <x v="0"/>
    <x v="0"/>
    <x v="4"/>
  </r>
  <r>
    <x v="2"/>
    <x v="0"/>
    <x v="7"/>
    <x v="0"/>
    <x v="0"/>
    <x v="0"/>
    <x v="0"/>
    <x v="0"/>
    <x v="7"/>
  </r>
  <r>
    <x v="5"/>
    <x v="0"/>
    <x v="3"/>
    <x v="0"/>
    <x v="0"/>
    <x v="0"/>
    <x v="0"/>
    <x v="0"/>
    <x v="3"/>
  </r>
  <r>
    <x v="4"/>
    <x v="1"/>
    <x v="2"/>
    <x v="0"/>
    <x v="0"/>
    <x v="0"/>
    <x v="2"/>
    <x v="2"/>
    <x v="2"/>
  </r>
  <r>
    <x v="11"/>
    <x v="0"/>
    <x v="7"/>
    <x v="0"/>
    <x v="0"/>
    <x v="0"/>
    <x v="0"/>
    <x v="0"/>
    <x v="7"/>
  </r>
  <r>
    <x v="11"/>
    <x v="0"/>
    <x v="6"/>
    <x v="0"/>
    <x v="0"/>
    <x v="0"/>
    <x v="0"/>
    <x v="0"/>
    <x v="6"/>
  </r>
  <r>
    <x v="11"/>
    <x v="0"/>
    <x v="1"/>
    <x v="0"/>
    <x v="0"/>
    <x v="0"/>
    <x v="0"/>
    <x v="0"/>
    <x v="1"/>
  </r>
  <r>
    <x v="11"/>
    <x v="0"/>
    <x v="7"/>
    <x v="0"/>
    <x v="0"/>
    <x v="0"/>
    <x v="0"/>
    <x v="0"/>
    <x v="7"/>
  </r>
  <r>
    <x v="11"/>
    <x v="0"/>
    <x v="6"/>
    <x v="0"/>
    <x v="0"/>
    <x v="0"/>
    <x v="0"/>
    <x v="0"/>
    <x v="6"/>
  </r>
  <r>
    <x v="12"/>
    <x v="1"/>
    <x v="6"/>
    <x v="0"/>
    <x v="0"/>
    <x v="0"/>
    <x v="1"/>
    <x v="4"/>
    <x v="8"/>
  </r>
  <r>
    <x v="12"/>
    <x v="0"/>
    <x v="8"/>
    <x v="0"/>
    <x v="0"/>
    <x v="0"/>
    <x v="0"/>
    <x v="0"/>
    <x v="9"/>
  </r>
  <r>
    <x v="12"/>
    <x v="0"/>
    <x v="6"/>
    <x v="0"/>
    <x v="0"/>
    <x v="0"/>
    <x v="0"/>
    <x v="0"/>
    <x v="6"/>
  </r>
  <r>
    <x v="12"/>
    <x v="0"/>
    <x v="6"/>
    <x v="0"/>
    <x v="0"/>
    <x v="0"/>
    <x v="0"/>
    <x v="0"/>
    <x v="6"/>
  </r>
  <r>
    <x v="13"/>
    <x v="3"/>
    <x v="3"/>
    <x v="1"/>
    <x v="0"/>
    <x v="2"/>
    <x v="1"/>
    <x v="5"/>
    <x v="10"/>
  </r>
  <r>
    <x v="14"/>
    <x v="0"/>
    <x v="7"/>
    <x v="0"/>
    <x v="0"/>
    <x v="0"/>
    <x v="0"/>
    <x v="0"/>
    <x v="7"/>
  </r>
  <r>
    <x v="15"/>
    <x v="3"/>
    <x v="3"/>
    <x v="1"/>
    <x v="0"/>
    <x v="2"/>
    <x v="1"/>
    <x v="5"/>
    <x v="10"/>
  </r>
  <r>
    <x v="16"/>
    <x v="3"/>
    <x v="3"/>
    <x v="2"/>
    <x v="0"/>
    <x v="3"/>
    <x v="1"/>
    <x v="2"/>
    <x v="10"/>
  </r>
  <r>
    <x v="12"/>
    <x v="2"/>
    <x v="5"/>
    <x v="0"/>
    <x v="0"/>
    <x v="0"/>
    <x v="4"/>
    <x v="6"/>
    <x v="5"/>
  </r>
  <r>
    <x v="12"/>
    <x v="3"/>
    <x v="3"/>
    <x v="2"/>
    <x v="0"/>
    <x v="3"/>
    <x v="5"/>
    <x v="7"/>
    <x v="10"/>
  </r>
  <r>
    <x v="12"/>
    <x v="3"/>
    <x v="3"/>
    <x v="2"/>
    <x v="0"/>
    <x v="3"/>
    <x v="6"/>
    <x v="8"/>
    <x v="10"/>
  </r>
  <r>
    <x v="12"/>
    <x v="0"/>
    <x v="3"/>
    <x v="0"/>
    <x v="0"/>
    <x v="0"/>
    <x v="0"/>
    <x v="0"/>
    <x v="3"/>
  </r>
  <r>
    <x v="12"/>
    <x v="2"/>
    <x v="3"/>
    <x v="0"/>
    <x v="0"/>
    <x v="0"/>
    <x v="0"/>
    <x v="0"/>
    <x v="11"/>
  </r>
  <r>
    <x v="12"/>
    <x v="0"/>
    <x v="3"/>
    <x v="0"/>
    <x v="0"/>
    <x v="0"/>
    <x v="0"/>
    <x v="0"/>
    <x v="3"/>
  </r>
  <r>
    <x v="12"/>
    <x v="2"/>
    <x v="3"/>
    <x v="0"/>
    <x v="0"/>
    <x v="0"/>
    <x v="0"/>
    <x v="0"/>
    <x v="11"/>
  </r>
  <r>
    <x v="12"/>
    <x v="4"/>
    <x v="3"/>
    <x v="3"/>
    <x v="0"/>
    <x v="4"/>
    <x v="1"/>
    <x v="9"/>
    <x v="12"/>
  </r>
  <r>
    <x v="12"/>
    <x v="0"/>
    <x v="3"/>
    <x v="0"/>
    <x v="0"/>
    <x v="0"/>
    <x v="0"/>
    <x v="0"/>
    <x v="3"/>
  </r>
  <r>
    <x v="12"/>
    <x v="1"/>
    <x v="3"/>
    <x v="0"/>
    <x v="0"/>
    <x v="0"/>
    <x v="7"/>
    <x v="9"/>
    <x v="13"/>
  </r>
  <r>
    <x v="12"/>
    <x v="1"/>
    <x v="3"/>
    <x v="0"/>
    <x v="0"/>
    <x v="0"/>
    <x v="8"/>
    <x v="10"/>
    <x v="13"/>
  </r>
  <r>
    <x v="12"/>
    <x v="1"/>
    <x v="3"/>
    <x v="0"/>
    <x v="0"/>
    <x v="0"/>
    <x v="9"/>
    <x v="5"/>
    <x v="13"/>
  </r>
  <r>
    <x v="12"/>
    <x v="1"/>
    <x v="3"/>
    <x v="0"/>
    <x v="0"/>
    <x v="0"/>
    <x v="10"/>
    <x v="7"/>
    <x v="13"/>
  </r>
  <r>
    <x v="17"/>
    <x v="5"/>
    <x v="9"/>
    <x v="4"/>
    <x v="0"/>
    <x v="5"/>
    <x v="1"/>
    <x v="11"/>
    <x v="14"/>
  </r>
  <r>
    <x v="12"/>
    <x v="0"/>
    <x v="1"/>
    <x v="0"/>
    <x v="0"/>
    <x v="0"/>
    <x v="0"/>
    <x v="0"/>
    <x v="1"/>
  </r>
  <r>
    <x v="12"/>
    <x v="3"/>
    <x v="10"/>
    <x v="5"/>
    <x v="0"/>
    <x v="6"/>
    <x v="2"/>
    <x v="0"/>
    <x v="15"/>
  </r>
  <r>
    <x v="12"/>
    <x v="0"/>
    <x v="11"/>
    <x v="0"/>
    <x v="0"/>
    <x v="0"/>
    <x v="0"/>
    <x v="0"/>
    <x v="16"/>
  </r>
  <r>
    <x v="12"/>
    <x v="6"/>
    <x v="12"/>
    <x v="2"/>
    <x v="0"/>
    <x v="3"/>
    <x v="11"/>
    <x v="0"/>
    <x v="17"/>
  </r>
  <r>
    <x v="12"/>
    <x v="7"/>
    <x v="12"/>
    <x v="3"/>
    <x v="0"/>
    <x v="4"/>
    <x v="12"/>
    <x v="0"/>
    <x v="18"/>
  </r>
  <r>
    <x v="12"/>
    <x v="7"/>
    <x v="12"/>
    <x v="0"/>
    <x v="0"/>
    <x v="0"/>
    <x v="13"/>
    <x v="12"/>
    <x v="18"/>
  </r>
  <r>
    <x v="12"/>
    <x v="0"/>
    <x v="6"/>
    <x v="0"/>
    <x v="0"/>
    <x v="0"/>
    <x v="0"/>
    <x v="0"/>
    <x v="6"/>
  </r>
  <r>
    <x v="12"/>
    <x v="8"/>
    <x v="13"/>
    <x v="5"/>
    <x v="0"/>
    <x v="6"/>
    <x v="14"/>
    <x v="7"/>
    <x v="19"/>
  </r>
  <r>
    <x v="12"/>
    <x v="9"/>
    <x v="14"/>
    <x v="6"/>
    <x v="0"/>
    <x v="7"/>
    <x v="1"/>
    <x v="13"/>
    <x v="20"/>
  </r>
  <r>
    <x v="18"/>
    <x v="9"/>
    <x v="14"/>
    <x v="6"/>
    <x v="0"/>
    <x v="7"/>
    <x v="1"/>
    <x v="13"/>
    <x v="20"/>
  </r>
  <r>
    <x v="12"/>
    <x v="10"/>
    <x v="15"/>
    <x v="0"/>
    <x v="0"/>
    <x v="0"/>
    <x v="0"/>
    <x v="0"/>
    <x v="21"/>
  </r>
  <r>
    <x v="12"/>
    <x v="0"/>
    <x v="0"/>
    <x v="0"/>
    <x v="0"/>
    <x v="0"/>
    <x v="0"/>
    <x v="0"/>
    <x v="0"/>
  </r>
  <r>
    <x v="12"/>
    <x v="0"/>
    <x v="4"/>
    <x v="0"/>
    <x v="0"/>
    <x v="0"/>
    <x v="0"/>
    <x v="0"/>
    <x v="4"/>
  </r>
  <r>
    <x v="12"/>
    <x v="2"/>
    <x v="3"/>
    <x v="0"/>
    <x v="0"/>
    <x v="0"/>
    <x v="0"/>
    <x v="0"/>
    <x v="11"/>
  </r>
  <r>
    <x v="12"/>
    <x v="0"/>
    <x v="16"/>
    <x v="0"/>
    <x v="0"/>
    <x v="0"/>
    <x v="0"/>
    <x v="0"/>
    <x v="22"/>
  </r>
  <r>
    <x v="19"/>
    <x v="0"/>
    <x v="7"/>
    <x v="0"/>
    <x v="0"/>
    <x v="0"/>
    <x v="0"/>
    <x v="0"/>
    <x v="7"/>
  </r>
  <r>
    <x v="19"/>
    <x v="0"/>
    <x v="7"/>
    <x v="0"/>
    <x v="0"/>
    <x v="0"/>
    <x v="0"/>
    <x v="0"/>
    <x v="7"/>
  </r>
  <r>
    <x v="20"/>
    <x v="0"/>
    <x v="4"/>
    <x v="0"/>
    <x v="0"/>
    <x v="0"/>
    <x v="0"/>
    <x v="0"/>
    <x v="4"/>
  </r>
  <r>
    <x v="20"/>
    <x v="0"/>
    <x v="0"/>
    <x v="0"/>
    <x v="0"/>
    <x v="0"/>
    <x v="0"/>
    <x v="0"/>
    <x v="0"/>
  </r>
  <r>
    <x v="12"/>
    <x v="0"/>
    <x v="4"/>
    <x v="0"/>
    <x v="0"/>
    <x v="0"/>
    <x v="0"/>
    <x v="0"/>
    <x v="4"/>
  </r>
  <r>
    <x v="21"/>
    <x v="0"/>
    <x v="7"/>
    <x v="0"/>
    <x v="0"/>
    <x v="0"/>
    <x v="0"/>
    <x v="0"/>
    <x v="7"/>
  </r>
  <r>
    <x v="21"/>
    <x v="0"/>
    <x v="7"/>
    <x v="0"/>
    <x v="0"/>
    <x v="0"/>
    <x v="0"/>
    <x v="0"/>
    <x v="7"/>
  </r>
  <r>
    <x v="12"/>
    <x v="0"/>
    <x v="0"/>
    <x v="0"/>
    <x v="0"/>
    <x v="0"/>
    <x v="0"/>
    <x v="0"/>
    <x v="0"/>
  </r>
  <r>
    <x v="22"/>
    <x v="2"/>
    <x v="3"/>
    <x v="0"/>
    <x v="0"/>
    <x v="0"/>
    <x v="0"/>
    <x v="0"/>
    <x v="11"/>
  </r>
  <r>
    <x v="23"/>
    <x v="0"/>
    <x v="7"/>
    <x v="0"/>
    <x v="0"/>
    <x v="0"/>
    <x v="0"/>
    <x v="0"/>
    <x v="7"/>
  </r>
  <r>
    <x v="23"/>
    <x v="9"/>
    <x v="14"/>
    <x v="6"/>
    <x v="0"/>
    <x v="7"/>
    <x v="1"/>
    <x v="13"/>
    <x v="20"/>
  </r>
  <r>
    <x v="23"/>
    <x v="9"/>
    <x v="12"/>
    <x v="5"/>
    <x v="0"/>
    <x v="6"/>
    <x v="15"/>
    <x v="13"/>
    <x v="23"/>
  </r>
  <r>
    <x v="24"/>
    <x v="0"/>
    <x v="7"/>
    <x v="0"/>
    <x v="0"/>
    <x v="0"/>
    <x v="0"/>
    <x v="0"/>
    <x v="7"/>
  </r>
  <r>
    <x v="24"/>
    <x v="0"/>
    <x v="7"/>
    <x v="0"/>
    <x v="0"/>
    <x v="0"/>
    <x v="0"/>
    <x v="0"/>
    <x v="7"/>
  </r>
  <r>
    <x v="24"/>
    <x v="0"/>
    <x v="7"/>
    <x v="0"/>
    <x v="0"/>
    <x v="0"/>
    <x v="0"/>
    <x v="0"/>
    <x v="7"/>
  </r>
  <r>
    <x v="12"/>
    <x v="9"/>
    <x v="12"/>
    <x v="5"/>
    <x v="0"/>
    <x v="6"/>
    <x v="2"/>
    <x v="0"/>
    <x v="23"/>
  </r>
  <r>
    <x v="25"/>
    <x v="0"/>
    <x v="6"/>
    <x v="0"/>
    <x v="0"/>
    <x v="0"/>
    <x v="0"/>
    <x v="0"/>
    <x v="6"/>
  </r>
  <r>
    <x v="26"/>
    <x v="0"/>
    <x v="7"/>
    <x v="0"/>
    <x v="0"/>
    <x v="0"/>
    <x v="0"/>
    <x v="0"/>
    <x v="7"/>
  </r>
  <r>
    <x v="26"/>
    <x v="0"/>
    <x v="7"/>
    <x v="0"/>
    <x v="0"/>
    <x v="0"/>
    <x v="0"/>
    <x v="0"/>
    <x v="7"/>
  </r>
  <r>
    <x v="26"/>
    <x v="0"/>
    <x v="7"/>
    <x v="0"/>
    <x v="0"/>
    <x v="0"/>
    <x v="0"/>
    <x v="0"/>
    <x v="7"/>
  </r>
  <r>
    <x v="26"/>
    <x v="0"/>
    <x v="8"/>
    <x v="0"/>
    <x v="0"/>
    <x v="0"/>
    <x v="0"/>
    <x v="0"/>
    <x v="9"/>
  </r>
  <r>
    <x v="27"/>
    <x v="2"/>
    <x v="3"/>
    <x v="0"/>
    <x v="0"/>
    <x v="0"/>
    <x v="0"/>
    <x v="0"/>
    <x v="11"/>
  </r>
  <r>
    <x v="28"/>
    <x v="0"/>
    <x v="8"/>
    <x v="0"/>
    <x v="0"/>
    <x v="0"/>
    <x v="0"/>
    <x v="0"/>
    <x v="9"/>
  </r>
  <r>
    <x v="29"/>
    <x v="0"/>
    <x v="7"/>
    <x v="0"/>
    <x v="0"/>
    <x v="0"/>
    <x v="0"/>
    <x v="0"/>
    <x v="7"/>
  </r>
  <r>
    <x v="29"/>
    <x v="2"/>
    <x v="3"/>
    <x v="1"/>
    <x v="0"/>
    <x v="2"/>
    <x v="9"/>
    <x v="0"/>
    <x v="11"/>
  </r>
  <r>
    <x v="30"/>
    <x v="2"/>
    <x v="8"/>
    <x v="1"/>
    <x v="0"/>
    <x v="2"/>
    <x v="16"/>
    <x v="14"/>
    <x v="24"/>
  </r>
  <r>
    <x v="31"/>
    <x v="0"/>
    <x v="7"/>
    <x v="0"/>
    <x v="0"/>
    <x v="0"/>
    <x v="0"/>
    <x v="0"/>
    <x v="7"/>
  </r>
  <r>
    <x v="31"/>
    <x v="0"/>
    <x v="11"/>
    <x v="0"/>
    <x v="0"/>
    <x v="0"/>
    <x v="2"/>
    <x v="2"/>
    <x v="16"/>
  </r>
  <r>
    <x v="32"/>
    <x v="0"/>
    <x v="4"/>
    <x v="0"/>
    <x v="0"/>
    <x v="0"/>
    <x v="0"/>
    <x v="0"/>
    <x v="4"/>
  </r>
  <r>
    <x v="32"/>
    <x v="2"/>
    <x v="3"/>
    <x v="0"/>
    <x v="0"/>
    <x v="0"/>
    <x v="0"/>
    <x v="0"/>
    <x v="11"/>
  </r>
  <r>
    <x v="32"/>
    <x v="2"/>
    <x v="3"/>
    <x v="0"/>
    <x v="0"/>
    <x v="0"/>
    <x v="0"/>
    <x v="0"/>
    <x v="11"/>
  </r>
  <r>
    <x v="32"/>
    <x v="0"/>
    <x v="7"/>
    <x v="0"/>
    <x v="0"/>
    <x v="0"/>
    <x v="0"/>
    <x v="0"/>
    <x v="7"/>
  </r>
  <r>
    <x v="32"/>
    <x v="0"/>
    <x v="4"/>
    <x v="0"/>
    <x v="0"/>
    <x v="0"/>
    <x v="0"/>
    <x v="0"/>
    <x v="4"/>
  </r>
  <r>
    <x v="32"/>
    <x v="2"/>
    <x v="3"/>
    <x v="0"/>
    <x v="0"/>
    <x v="0"/>
    <x v="0"/>
    <x v="0"/>
    <x v="11"/>
  </r>
  <r>
    <x v="33"/>
    <x v="0"/>
    <x v="7"/>
    <x v="0"/>
    <x v="0"/>
    <x v="0"/>
    <x v="0"/>
    <x v="0"/>
    <x v="7"/>
  </r>
  <r>
    <x v="33"/>
    <x v="0"/>
    <x v="7"/>
    <x v="0"/>
    <x v="0"/>
    <x v="0"/>
    <x v="0"/>
    <x v="0"/>
    <x v="7"/>
  </r>
  <r>
    <x v="34"/>
    <x v="0"/>
    <x v="7"/>
    <x v="0"/>
    <x v="0"/>
    <x v="0"/>
    <x v="0"/>
    <x v="0"/>
    <x v="7"/>
  </r>
  <r>
    <x v="34"/>
    <x v="0"/>
    <x v="0"/>
    <x v="0"/>
    <x v="0"/>
    <x v="0"/>
    <x v="0"/>
    <x v="0"/>
    <x v="0"/>
  </r>
  <r>
    <x v="34"/>
    <x v="0"/>
    <x v="7"/>
    <x v="0"/>
    <x v="0"/>
    <x v="0"/>
    <x v="0"/>
    <x v="0"/>
    <x v="7"/>
  </r>
  <r>
    <x v="35"/>
    <x v="11"/>
    <x v="12"/>
    <x v="7"/>
    <x v="0"/>
    <x v="8"/>
    <x v="1"/>
    <x v="15"/>
    <x v="25"/>
  </r>
  <r>
    <x v="36"/>
    <x v="11"/>
    <x v="12"/>
    <x v="7"/>
    <x v="0"/>
    <x v="8"/>
    <x v="1"/>
    <x v="15"/>
    <x v="25"/>
  </r>
  <r>
    <x v="36"/>
    <x v="11"/>
    <x v="12"/>
    <x v="8"/>
    <x v="0"/>
    <x v="9"/>
    <x v="1"/>
    <x v="16"/>
    <x v="25"/>
  </r>
  <r>
    <x v="36"/>
    <x v="11"/>
    <x v="12"/>
    <x v="8"/>
    <x v="0"/>
    <x v="9"/>
    <x v="17"/>
    <x v="0"/>
    <x v="25"/>
  </r>
  <r>
    <x v="36"/>
    <x v="11"/>
    <x v="12"/>
    <x v="8"/>
    <x v="0"/>
    <x v="9"/>
    <x v="18"/>
    <x v="9"/>
    <x v="25"/>
  </r>
  <r>
    <x v="37"/>
    <x v="10"/>
    <x v="3"/>
    <x v="0"/>
    <x v="0"/>
    <x v="0"/>
    <x v="1"/>
    <x v="1"/>
    <x v="26"/>
  </r>
  <r>
    <x v="37"/>
    <x v="10"/>
    <x v="8"/>
    <x v="0"/>
    <x v="0"/>
    <x v="0"/>
    <x v="19"/>
    <x v="17"/>
    <x v="27"/>
  </r>
  <r>
    <x v="38"/>
    <x v="0"/>
    <x v="0"/>
    <x v="0"/>
    <x v="0"/>
    <x v="0"/>
    <x v="0"/>
    <x v="0"/>
    <x v="0"/>
  </r>
  <r>
    <x v="39"/>
    <x v="0"/>
    <x v="7"/>
    <x v="0"/>
    <x v="0"/>
    <x v="0"/>
    <x v="0"/>
    <x v="0"/>
    <x v="7"/>
  </r>
  <r>
    <x v="39"/>
    <x v="0"/>
    <x v="7"/>
    <x v="0"/>
    <x v="0"/>
    <x v="0"/>
    <x v="0"/>
    <x v="0"/>
    <x v="7"/>
  </r>
  <r>
    <x v="39"/>
    <x v="10"/>
    <x v="15"/>
    <x v="0"/>
    <x v="0"/>
    <x v="0"/>
    <x v="0"/>
    <x v="0"/>
    <x v="21"/>
  </r>
  <r>
    <x v="39"/>
    <x v="10"/>
    <x v="15"/>
    <x v="0"/>
    <x v="0"/>
    <x v="0"/>
    <x v="0"/>
    <x v="0"/>
    <x v="21"/>
  </r>
  <r>
    <x v="40"/>
    <x v="0"/>
    <x v="7"/>
    <x v="0"/>
    <x v="0"/>
    <x v="0"/>
    <x v="0"/>
    <x v="0"/>
    <x v="7"/>
  </r>
  <r>
    <x v="40"/>
    <x v="0"/>
    <x v="7"/>
    <x v="0"/>
    <x v="0"/>
    <x v="0"/>
    <x v="0"/>
    <x v="0"/>
    <x v="7"/>
  </r>
  <r>
    <x v="40"/>
    <x v="0"/>
    <x v="7"/>
    <x v="0"/>
    <x v="0"/>
    <x v="0"/>
    <x v="0"/>
    <x v="0"/>
    <x v="7"/>
  </r>
  <r>
    <x v="41"/>
    <x v="0"/>
    <x v="7"/>
    <x v="0"/>
    <x v="0"/>
    <x v="0"/>
    <x v="0"/>
    <x v="0"/>
    <x v="7"/>
  </r>
  <r>
    <x v="41"/>
    <x v="0"/>
    <x v="0"/>
    <x v="0"/>
    <x v="0"/>
    <x v="0"/>
    <x v="0"/>
    <x v="0"/>
    <x v="0"/>
  </r>
  <r>
    <x v="41"/>
    <x v="0"/>
    <x v="6"/>
    <x v="0"/>
    <x v="0"/>
    <x v="0"/>
    <x v="0"/>
    <x v="0"/>
    <x v="6"/>
  </r>
  <r>
    <x v="42"/>
    <x v="0"/>
    <x v="7"/>
    <x v="0"/>
    <x v="0"/>
    <x v="0"/>
    <x v="0"/>
    <x v="0"/>
    <x v="7"/>
  </r>
  <r>
    <x v="42"/>
    <x v="0"/>
    <x v="7"/>
    <x v="0"/>
    <x v="0"/>
    <x v="0"/>
    <x v="0"/>
    <x v="0"/>
    <x v="7"/>
  </r>
  <r>
    <x v="43"/>
    <x v="0"/>
    <x v="8"/>
    <x v="0"/>
    <x v="0"/>
    <x v="0"/>
    <x v="0"/>
    <x v="0"/>
    <x v="9"/>
  </r>
  <r>
    <x v="44"/>
    <x v="12"/>
    <x v="8"/>
    <x v="7"/>
    <x v="0"/>
    <x v="8"/>
    <x v="1"/>
    <x v="15"/>
    <x v="28"/>
  </r>
  <r>
    <x v="45"/>
    <x v="0"/>
    <x v="4"/>
    <x v="0"/>
    <x v="0"/>
    <x v="0"/>
    <x v="0"/>
    <x v="0"/>
    <x v="4"/>
  </r>
  <r>
    <x v="45"/>
    <x v="13"/>
    <x v="17"/>
    <x v="9"/>
    <x v="0"/>
    <x v="10"/>
    <x v="20"/>
    <x v="0"/>
    <x v="29"/>
  </r>
  <r>
    <x v="46"/>
    <x v="0"/>
    <x v="16"/>
    <x v="0"/>
    <x v="0"/>
    <x v="0"/>
    <x v="9"/>
    <x v="5"/>
    <x v="22"/>
  </r>
  <r>
    <x v="47"/>
    <x v="0"/>
    <x v="4"/>
    <x v="0"/>
    <x v="0"/>
    <x v="0"/>
    <x v="0"/>
    <x v="0"/>
    <x v="4"/>
  </r>
  <r>
    <x v="48"/>
    <x v="0"/>
    <x v="7"/>
    <x v="0"/>
    <x v="0"/>
    <x v="0"/>
    <x v="0"/>
    <x v="0"/>
    <x v="7"/>
  </r>
  <r>
    <x v="48"/>
    <x v="0"/>
    <x v="7"/>
    <x v="0"/>
    <x v="0"/>
    <x v="0"/>
    <x v="0"/>
    <x v="0"/>
    <x v="7"/>
  </r>
  <r>
    <x v="49"/>
    <x v="0"/>
    <x v="6"/>
    <x v="0"/>
    <x v="0"/>
    <x v="0"/>
    <x v="0"/>
    <x v="0"/>
    <x v="6"/>
  </r>
  <r>
    <x v="50"/>
    <x v="0"/>
    <x v="6"/>
    <x v="0"/>
    <x v="0"/>
    <x v="0"/>
    <x v="0"/>
    <x v="0"/>
    <x v="6"/>
  </r>
  <r>
    <x v="50"/>
    <x v="0"/>
    <x v="7"/>
    <x v="0"/>
    <x v="0"/>
    <x v="0"/>
    <x v="0"/>
    <x v="0"/>
    <x v="7"/>
  </r>
  <r>
    <x v="50"/>
    <x v="0"/>
    <x v="8"/>
    <x v="0"/>
    <x v="0"/>
    <x v="0"/>
    <x v="0"/>
    <x v="0"/>
    <x v="9"/>
  </r>
  <r>
    <x v="50"/>
    <x v="0"/>
    <x v="7"/>
    <x v="0"/>
    <x v="0"/>
    <x v="0"/>
    <x v="0"/>
    <x v="0"/>
    <x v="7"/>
  </r>
  <r>
    <x v="50"/>
    <x v="2"/>
    <x v="10"/>
    <x v="0"/>
    <x v="0"/>
    <x v="0"/>
    <x v="11"/>
    <x v="18"/>
    <x v="30"/>
  </r>
  <r>
    <x v="50"/>
    <x v="0"/>
    <x v="7"/>
    <x v="0"/>
    <x v="0"/>
    <x v="0"/>
    <x v="0"/>
    <x v="0"/>
    <x v="7"/>
  </r>
  <r>
    <x v="51"/>
    <x v="14"/>
    <x v="5"/>
    <x v="0"/>
    <x v="0"/>
    <x v="0"/>
    <x v="4"/>
    <x v="6"/>
    <x v="31"/>
  </r>
  <r>
    <x v="52"/>
    <x v="0"/>
    <x v="7"/>
    <x v="0"/>
    <x v="0"/>
    <x v="0"/>
    <x v="0"/>
    <x v="0"/>
    <x v="7"/>
  </r>
  <r>
    <x v="52"/>
    <x v="0"/>
    <x v="7"/>
    <x v="0"/>
    <x v="0"/>
    <x v="0"/>
    <x v="0"/>
    <x v="0"/>
    <x v="7"/>
  </r>
  <r>
    <x v="53"/>
    <x v="0"/>
    <x v="8"/>
    <x v="0"/>
    <x v="0"/>
    <x v="0"/>
    <x v="0"/>
    <x v="0"/>
    <x v="9"/>
  </r>
  <r>
    <x v="54"/>
    <x v="0"/>
    <x v="7"/>
    <x v="0"/>
    <x v="0"/>
    <x v="0"/>
    <x v="0"/>
    <x v="0"/>
    <x v="7"/>
  </r>
  <r>
    <x v="54"/>
    <x v="0"/>
    <x v="6"/>
    <x v="0"/>
    <x v="0"/>
    <x v="0"/>
    <x v="0"/>
    <x v="0"/>
    <x v="6"/>
  </r>
  <r>
    <x v="54"/>
    <x v="0"/>
    <x v="7"/>
    <x v="0"/>
    <x v="0"/>
    <x v="0"/>
    <x v="0"/>
    <x v="0"/>
    <x v="7"/>
  </r>
  <r>
    <x v="55"/>
    <x v="6"/>
    <x v="12"/>
    <x v="0"/>
    <x v="0"/>
    <x v="0"/>
    <x v="0"/>
    <x v="0"/>
    <x v="17"/>
  </r>
  <r>
    <x v="55"/>
    <x v="0"/>
    <x v="8"/>
    <x v="0"/>
    <x v="0"/>
    <x v="0"/>
    <x v="0"/>
    <x v="0"/>
    <x v="9"/>
  </r>
  <r>
    <x v="55"/>
    <x v="6"/>
    <x v="12"/>
    <x v="0"/>
    <x v="0"/>
    <x v="0"/>
    <x v="0"/>
    <x v="0"/>
    <x v="17"/>
  </r>
  <r>
    <x v="55"/>
    <x v="0"/>
    <x v="8"/>
    <x v="0"/>
    <x v="0"/>
    <x v="0"/>
    <x v="0"/>
    <x v="0"/>
    <x v="9"/>
  </r>
  <r>
    <x v="56"/>
    <x v="0"/>
    <x v="4"/>
    <x v="0"/>
    <x v="0"/>
    <x v="0"/>
    <x v="2"/>
    <x v="2"/>
    <x v="4"/>
  </r>
  <r>
    <x v="57"/>
    <x v="3"/>
    <x v="18"/>
    <x v="2"/>
    <x v="0"/>
    <x v="3"/>
    <x v="1"/>
    <x v="2"/>
    <x v="32"/>
  </r>
  <r>
    <x v="57"/>
    <x v="3"/>
    <x v="18"/>
    <x v="5"/>
    <x v="0"/>
    <x v="6"/>
    <x v="1"/>
    <x v="18"/>
    <x v="32"/>
  </r>
  <r>
    <x v="58"/>
    <x v="0"/>
    <x v="0"/>
    <x v="0"/>
    <x v="0"/>
    <x v="0"/>
    <x v="0"/>
    <x v="0"/>
    <x v="0"/>
  </r>
  <r>
    <x v="58"/>
    <x v="0"/>
    <x v="7"/>
    <x v="0"/>
    <x v="0"/>
    <x v="0"/>
    <x v="0"/>
    <x v="0"/>
    <x v="7"/>
  </r>
  <r>
    <x v="58"/>
    <x v="0"/>
    <x v="7"/>
    <x v="0"/>
    <x v="0"/>
    <x v="0"/>
    <x v="0"/>
    <x v="0"/>
    <x v="7"/>
  </r>
  <r>
    <x v="58"/>
    <x v="0"/>
    <x v="4"/>
    <x v="0"/>
    <x v="0"/>
    <x v="0"/>
    <x v="0"/>
    <x v="0"/>
    <x v="4"/>
  </r>
  <r>
    <x v="59"/>
    <x v="3"/>
    <x v="16"/>
    <x v="1"/>
    <x v="0"/>
    <x v="2"/>
    <x v="21"/>
    <x v="19"/>
    <x v="33"/>
  </r>
  <r>
    <x v="60"/>
    <x v="0"/>
    <x v="7"/>
    <x v="0"/>
    <x v="0"/>
    <x v="0"/>
    <x v="0"/>
    <x v="0"/>
    <x v="7"/>
  </r>
  <r>
    <x v="60"/>
    <x v="0"/>
    <x v="0"/>
    <x v="0"/>
    <x v="0"/>
    <x v="0"/>
    <x v="0"/>
    <x v="0"/>
    <x v="0"/>
  </r>
  <r>
    <x v="61"/>
    <x v="0"/>
    <x v="6"/>
    <x v="0"/>
    <x v="0"/>
    <x v="0"/>
    <x v="0"/>
    <x v="0"/>
    <x v="6"/>
  </r>
  <r>
    <x v="62"/>
    <x v="0"/>
    <x v="7"/>
    <x v="0"/>
    <x v="0"/>
    <x v="0"/>
    <x v="0"/>
    <x v="0"/>
    <x v="7"/>
  </r>
  <r>
    <x v="62"/>
    <x v="0"/>
    <x v="7"/>
    <x v="0"/>
    <x v="0"/>
    <x v="0"/>
    <x v="0"/>
    <x v="0"/>
    <x v="7"/>
  </r>
  <r>
    <x v="63"/>
    <x v="0"/>
    <x v="6"/>
    <x v="0"/>
    <x v="0"/>
    <x v="0"/>
    <x v="0"/>
    <x v="0"/>
    <x v="6"/>
  </r>
  <r>
    <x v="63"/>
    <x v="0"/>
    <x v="6"/>
    <x v="0"/>
    <x v="0"/>
    <x v="0"/>
    <x v="0"/>
    <x v="0"/>
    <x v="6"/>
  </r>
  <r>
    <x v="63"/>
    <x v="0"/>
    <x v="8"/>
    <x v="0"/>
    <x v="0"/>
    <x v="0"/>
    <x v="0"/>
    <x v="0"/>
    <x v="9"/>
  </r>
  <r>
    <x v="64"/>
    <x v="0"/>
    <x v="8"/>
    <x v="0"/>
    <x v="0"/>
    <x v="0"/>
    <x v="0"/>
    <x v="0"/>
    <x v="9"/>
  </r>
  <r>
    <x v="64"/>
    <x v="0"/>
    <x v="0"/>
    <x v="0"/>
    <x v="0"/>
    <x v="0"/>
    <x v="0"/>
    <x v="0"/>
    <x v="0"/>
  </r>
  <r>
    <x v="65"/>
    <x v="0"/>
    <x v="6"/>
    <x v="0"/>
    <x v="0"/>
    <x v="0"/>
    <x v="0"/>
    <x v="0"/>
    <x v="6"/>
  </r>
  <r>
    <x v="65"/>
    <x v="0"/>
    <x v="7"/>
    <x v="0"/>
    <x v="0"/>
    <x v="0"/>
    <x v="0"/>
    <x v="0"/>
    <x v="7"/>
  </r>
  <r>
    <x v="65"/>
    <x v="0"/>
    <x v="7"/>
    <x v="0"/>
    <x v="0"/>
    <x v="0"/>
    <x v="0"/>
    <x v="0"/>
    <x v="7"/>
  </r>
  <r>
    <x v="65"/>
    <x v="0"/>
    <x v="7"/>
    <x v="0"/>
    <x v="0"/>
    <x v="0"/>
    <x v="0"/>
    <x v="0"/>
    <x v="7"/>
  </r>
  <r>
    <x v="66"/>
    <x v="10"/>
    <x v="15"/>
    <x v="0"/>
    <x v="0"/>
    <x v="0"/>
    <x v="0"/>
    <x v="0"/>
    <x v="21"/>
  </r>
  <r>
    <x v="66"/>
    <x v="10"/>
    <x v="15"/>
    <x v="0"/>
    <x v="0"/>
    <x v="0"/>
    <x v="0"/>
    <x v="0"/>
    <x v="21"/>
  </r>
  <r>
    <x v="67"/>
    <x v="0"/>
    <x v="0"/>
    <x v="0"/>
    <x v="0"/>
    <x v="0"/>
    <x v="0"/>
    <x v="0"/>
    <x v="0"/>
  </r>
  <r>
    <x v="67"/>
    <x v="0"/>
    <x v="6"/>
    <x v="0"/>
    <x v="0"/>
    <x v="0"/>
    <x v="0"/>
    <x v="0"/>
    <x v="6"/>
  </r>
  <r>
    <x v="67"/>
    <x v="13"/>
    <x v="17"/>
    <x v="9"/>
    <x v="0"/>
    <x v="10"/>
    <x v="20"/>
    <x v="0"/>
    <x v="29"/>
  </r>
  <r>
    <x v="67"/>
    <x v="13"/>
    <x v="17"/>
    <x v="9"/>
    <x v="0"/>
    <x v="10"/>
    <x v="20"/>
    <x v="0"/>
    <x v="29"/>
  </r>
  <r>
    <x v="67"/>
    <x v="15"/>
    <x v="3"/>
    <x v="0"/>
    <x v="0"/>
    <x v="0"/>
    <x v="1"/>
    <x v="1"/>
    <x v="34"/>
  </r>
  <r>
    <x v="67"/>
    <x v="15"/>
    <x v="3"/>
    <x v="0"/>
    <x v="0"/>
    <x v="0"/>
    <x v="1"/>
    <x v="1"/>
    <x v="34"/>
  </r>
  <r>
    <x v="68"/>
    <x v="0"/>
    <x v="11"/>
    <x v="0"/>
    <x v="0"/>
    <x v="0"/>
    <x v="0"/>
    <x v="0"/>
    <x v="16"/>
  </r>
  <r>
    <x v="69"/>
    <x v="0"/>
    <x v="4"/>
    <x v="0"/>
    <x v="0"/>
    <x v="0"/>
    <x v="0"/>
    <x v="0"/>
    <x v="4"/>
  </r>
  <r>
    <x v="68"/>
    <x v="0"/>
    <x v="4"/>
    <x v="0"/>
    <x v="0"/>
    <x v="0"/>
    <x v="0"/>
    <x v="0"/>
    <x v="4"/>
  </r>
  <r>
    <x v="70"/>
    <x v="0"/>
    <x v="6"/>
    <x v="0"/>
    <x v="0"/>
    <x v="0"/>
    <x v="0"/>
    <x v="0"/>
    <x v="6"/>
  </r>
  <r>
    <x v="70"/>
    <x v="0"/>
    <x v="7"/>
    <x v="0"/>
    <x v="0"/>
    <x v="0"/>
    <x v="0"/>
    <x v="0"/>
    <x v="7"/>
  </r>
  <r>
    <x v="71"/>
    <x v="6"/>
    <x v="12"/>
    <x v="0"/>
    <x v="0"/>
    <x v="0"/>
    <x v="1"/>
    <x v="1"/>
    <x v="17"/>
  </r>
  <r>
    <x v="71"/>
    <x v="6"/>
    <x v="12"/>
    <x v="0"/>
    <x v="0"/>
    <x v="0"/>
    <x v="1"/>
    <x v="1"/>
    <x v="17"/>
  </r>
  <r>
    <x v="72"/>
    <x v="0"/>
    <x v="0"/>
    <x v="0"/>
    <x v="0"/>
    <x v="0"/>
    <x v="0"/>
    <x v="0"/>
    <x v="0"/>
  </r>
  <r>
    <x v="68"/>
    <x v="0"/>
    <x v="4"/>
    <x v="0"/>
    <x v="0"/>
    <x v="0"/>
    <x v="0"/>
    <x v="0"/>
    <x v="4"/>
  </r>
  <r>
    <x v="73"/>
    <x v="0"/>
    <x v="8"/>
    <x v="0"/>
    <x v="0"/>
    <x v="0"/>
    <x v="0"/>
    <x v="0"/>
    <x v="9"/>
  </r>
  <r>
    <x v="73"/>
    <x v="0"/>
    <x v="7"/>
    <x v="0"/>
    <x v="0"/>
    <x v="0"/>
    <x v="0"/>
    <x v="0"/>
    <x v="7"/>
  </r>
  <r>
    <x v="73"/>
    <x v="0"/>
    <x v="7"/>
    <x v="0"/>
    <x v="0"/>
    <x v="0"/>
    <x v="0"/>
    <x v="0"/>
    <x v="7"/>
  </r>
  <r>
    <x v="73"/>
    <x v="0"/>
    <x v="8"/>
    <x v="0"/>
    <x v="0"/>
    <x v="0"/>
    <x v="0"/>
    <x v="0"/>
    <x v="9"/>
  </r>
  <r>
    <x v="74"/>
    <x v="9"/>
    <x v="19"/>
    <x v="5"/>
    <x v="0"/>
    <x v="6"/>
    <x v="1"/>
    <x v="18"/>
    <x v="35"/>
  </r>
  <r>
    <x v="74"/>
    <x v="9"/>
    <x v="19"/>
    <x v="5"/>
    <x v="0"/>
    <x v="6"/>
    <x v="1"/>
    <x v="18"/>
    <x v="35"/>
  </r>
  <r>
    <x v="74"/>
    <x v="9"/>
    <x v="19"/>
    <x v="5"/>
    <x v="0"/>
    <x v="6"/>
    <x v="1"/>
    <x v="18"/>
    <x v="35"/>
  </r>
  <r>
    <x v="75"/>
    <x v="16"/>
    <x v="3"/>
    <x v="0"/>
    <x v="0"/>
    <x v="0"/>
    <x v="0"/>
    <x v="0"/>
    <x v="36"/>
  </r>
  <r>
    <x v="75"/>
    <x v="16"/>
    <x v="3"/>
    <x v="0"/>
    <x v="0"/>
    <x v="0"/>
    <x v="0"/>
    <x v="0"/>
    <x v="36"/>
  </r>
  <r>
    <x v="76"/>
    <x v="0"/>
    <x v="3"/>
    <x v="0"/>
    <x v="0"/>
    <x v="0"/>
    <x v="1"/>
    <x v="1"/>
    <x v="3"/>
  </r>
  <r>
    <x v="76"/>
    <x v="0"/>
    <x v="8"/>
    <x v="0"/>
    <x v="0"/>
    <x v="0"/>
    <x v="0"/>
    <x v="0"/>
    <x v="9"/>
  </r>
  <r>
    <x v="77"/>
    <x v="0"/>
    <x v="0"/>
    <x v="0"/>
    <x v="0"/>
    <x v="0"/>
    <x v="0"/>
    <x v="0"/>
    <x v="0"/>
  </r>
  <r>
    <x v="77"/>
    <x v="0"/>
    <x v="7"/>
    <x v="0"/>
    <x v="0"/>
    <x v="0"/>
    <x v="0"/>
    <x v="0"/>
    <x v="7"/>
  </r>
  <r>
    <x v="78"/>
    <x v="0"/>
    <x v="7"/>
    <x v="0"/>
    <x v="0"/>
    <x v="0"/>
    <x v="0"/>
    <x v="0"/>
    <x v="7"/>
  </r>
  <r>
    <x v="78"/>
    <x v="0"/>
    <x v="7"/>
    <x v="0"/>
    <x v="0"/>
    <x v="0"/>
    <x v="0"/>
    <x v="0"/>
    <x v="7"/>
  </r>
  <r>
    <x v="79"/>
    <x v="0"/>
    <x v="6"/>
    <x v="0"/>
    <x v="0"/>
    <x v="0"/>
    <x v="0"/>
    <x v="0"/>
    <x v="6"/>
  </r>
  <r>
    <x v="80"/>
    <x v="0"/>
    <x v="7"/>
    <x v="0"/>
    <x v="0"/>
    <x v="0"/>
    <x v="0"/>
    <x v="0"/>
    <x v="7"/>
  </r>
  <r>
    <x v="80"/>
    <x v="0"/>
    <x v="7"/>
    <x v="0"/>
    <x v="0"/>
    <x v="0"/>
    <x v="0"/>
    <x v="0"/>
    <x v="7"/>
  </r>
  <r>
    <x v="80"/>
    <x v="0"/>
    <x v="4"/>
    <x v="0"/>
    <x v="0"/>
    <x v="0"/>
    <x v="0"/>
    <x v="0"/>
    <x v="4"/>
  </r>
  <r>
    <x v="80"/>
    <x v="0"/>
    <x v="7"/>
    <x v="0"/>
    <x v="0"/>
    <x v="0"/>
    <x v="0"/>
    <x v="0"/>
    <x v="7"/>
  </r>
  <r>
    <x v="81"/>
    <x v="10"/>
    <x v="4"/>
    <x v="0"/>
    <x v="0"/>
    <x v="0"/>
    <x v="1"/>
    <x v="1"/>
    <x v="37"/>
  </r>
  <r>
    <x v="12"/>
    <x v="10"/>
    <x v="4"/>
    <x v="0"/>
    <x v="0"/>
    <x v="0"/>
    <x v="1"/>
    <x v="1"/>
    <x v="37"/>
  </r>
  <r>
    <x v="12"/>
    <x v="10"/>
    <x v="4"/>
    <x v="0"/>
    <x v="0"/>
    <x v="0"/>
    <x v="2"/>
    <x v="2"/>
    <x v="37"/>
  </r>
  <r>
    <x v="12"/>
    <x v="10"/>
    <x v="4"/>
    <x v="0"/>
    <x v="0"/>
    <x v="0"/>
    <x v="2"/>
    <x v="2"/>
    <x v="37"/>
  </r>
  <r>
    <x v="12"/>
    <x v="10"/>
    <x v="4"/>
    <x v="0"/>
    <x v="0"/>
    <x v="0"/>
    <x v="0"/>
    <x v="0"/>
    <x v="37"/>
  </r>
  <r>
    <x v="82"/>
    <x v="0"/>
    <x v="6"/>
    <x v="0"/>
    <x v="0"/>
    <x v="0"/>
    <x v="0"/>
    <x v="0"/>
    <x v="6"/>
  </r>
  <r>
    <x v="82"/>
    <x v="0"/>
    <x v="4"/>
    <x v="0"/>
    <x v="0"/>
    <x v="0"/>
    <x v="0"/>
    <x v="0"/>
    <x v="4"/>
  </r>
  <r>
    <x v="82"/>
    <x v="0"/>
    <x v="0"/>
    <x v="0"/>
    <x v="0"/>
    <x v="0"/>
    <x v="0"/>
    <x v="0"/>
    <x v="0"/>
  </r>
  <r>
    <x v="82"/>
    <x v="0"/>
    <x v="4"/>
    <x v="0"/>
    <x v="0"/>
    <x v="0"/>
    <x v="9"/>
    <x v="5"/>
    <x v="4"/>
  </r>
  <r>
    <x v="83"/>
    <x v="0"/>
    <x v="7"/>
    <x v="0"/>
    <x v="0"/>
    <x v="0"/>
    <x v="0"/>
    <x v="0"/>
    <x v="7"/>
  </r>
  <r>
    <x v="83"/>
    <x v="0"/>
    <x v="7"/>
    <x v="0"/>
    <x v="0"/>
    <x v="0"/>
    <x v="0"/>
    <x v="0"/>
    <x v="7"/>
  </r>
  <r>
    <x v="83"/>
    <x v="0"/>
    <x v="1"/>
    <x v="0"/>
    <x v="0"/>
    <x v="0"/>
    <x v="0"/>
    <x v="0"/>
    <x v="1"/>
  </r>
  <r>
    <x v="84"/>
    <x v="2"/>
    <x v="10"/>
    <x v="0"/>
    <x v="0"/>
    <x v="0"/>
    <x v="1"/>
    <x v="1"/>
    <x v="30"/>
  </r>
  <r>
    <x v="84"/>
    <x v="2"/>
    <x v="10"/>
    <x v="0"/>
    <x v="0"/>
    <x v="0"/>
    <x v="1"/>
    <x v="1"/>
    <x v="30"/>
  </r>
  <r>
    <x v="85"/>
    <x v="0"/>
    <x v="7"/>
    <x v="0"/>
    <x v="0"/>
    <x v="0"/>
    <x v="0"/>
    <x v="0"/>
    <x v="7"/>
  </r>
  <r>
    <x v="85"/>
    <x v="0"/>
    <x v="7"/>
    <x v="0"/>
    <x v="0"/>
    <x v="0"/>
    <x v="0"/>
    <x v="0"/>
    <x v="7"/>
  </r>
  <r>
    <x v="85"/>
    <x v="0"/>
    <x v="7"/>
    <x v="0"/>
    <x v="0"/>
    <x v="0"/>
    <x v="0"/>
    <x v="0"/>
    <x v="7"/>
  </r>
  <r>
    <x v="86"/>
    <x v="0"/>
    <x v="7"/>
    <x v="0"/>
    <x v="2"/>
    <x v="11"/>
    <x v="22"/>
    <x v="0"/>
    <x v="7"/>
  </r>
  <r>
    <x v="87"/>
    <x v="10"/>
    <x v="3"/>
    <x v="0"/>
    <x v="0"/>
    <x v="0"/>
    <x v="1"/>
    <x v="1"/>
    <x v="26"/>
  </r>
  <r>
    <x v="88"/>
    <x v="0"/>
    <x v="0"/>
    <x v="0"/>
    <x v="1"/>
    <x v="1"/>
    <x v="23"/>
    <x v="0"/>
    <x v="0"/>
  </r>
  <r>
    <x v="89"/>
    <x v="0"/>
    <x v="7"/>
    <x v="0"/>
    <x v="2"/>
    <x v="11"/>
    <x v="22"/>
    <x v="0"/>
    <x v="7"/>
  </r>
  <r>
    <x v="89"/>
    <x v="0"/>
    <x v="0"/>
    <x v="0"/>
    <x v="0"/>
    <x v="0"/>
    <x v="0"/>
    <x v="0"/>
    <x v="0"/>
  </r>
  <r>
    <x v="90"/>
    <x v="0"/>
    <x v="0"/>
    <x v="0"/>
    <x v="0"/>
    <x v="0"/>
    <x v="0"/>
    <x v="0"/>
    <x v="0"/>
  </r>
  <r>
    <x v="91"/>
    <x v="0"/>
    <x v="7"/>
    <x v="0"/>
    <x v="2"/>
    <x v="11"/>
    <x v="22"/>
    <x v="0"/>
    <x v="7"/>
  </r>
  <r>
    <x v="92"/>
    <x v="0"/>
    <x v="1"/>
    <x v="0"/>
    <x v="0"/>
    <x v="0"/>
    <x v="1"/>
    <x v="1"/>
    <x v="1"/>
  </r>
  <r>
    <x v="93"/>
    <x v="0"/>
    <x v="7"/>
    <x v="0"/>
    <x v="1"/>
    <x v="1"/>
    <x v="23"/>
    <x v="0"/>
    <x v="7"/>
  </r>
  <r>
    <x v="93"/>
    <x v="0"/>
    <x v="6"/>
    <x v="0"/>
    <x v="0"/>
    <x v="0"/>
    <x v="0"/>
    <x v="0"/>
    <x v="6"/>
  </r>
  <r>
    <x v="94"/>
    <x v="0"/>
    <x v="7"/>
    <x v="0"/>
    <x v="2"/>
    <x v="11"/>
    <x v="22"/>
    <x v="0"/>
    <x v="7"/>
  </r>
  <r>
    <x v="94"/>
    <x v="0"/>
    <x v="6"/>
    <x v="0"/>
    <x v="0"/>
    <x v="0"/>
    <x v="0"/>
    <x v="0"/>
    <x v="6"/>
  </r>
  <r>
    <x v="94"/>
    <x v="0"/>
    <x v="8"/>
    <x v="0"/>
    <x v="0"/>
    <x v="0"/>
    <x v="0"/>
    <x v="0"/>
    <x v="9"/>
  </r>
  <r>
    <x v="95"/>
    <x v="2"/>
    <x v="3"/>
    <x v="0"/>
    <x v="1"/>
    <x v="1"/>
    <x v="0"/>
    <x v="1"/>
    <x v="11"/>
  </r>
  <r>
    <x v="96"/>
    <x v="0"/>
    <x v="7"/>
    <x v="0"/>
    <x v="1"/>
    <x v="1"/>
    <x v="23"/>
    <x v="0"/>
    <x v="7"/>
  </r>
  <r>
    <x v="97"/>
    <x v="0"/>
    <x v="7"/>
    <x v="0"/>
    <x v="1"/>
    <x v="1"/>
    <x v="23"/>
    <x v="0"/>
    <x v="7"/>
  </r>
  <r>
    <x v="98"/>
    <x v="17"/>
    <x v="9"/>
    <x v="2"/>
    <x v="0"/>
    <x v="3"/>
    <x v="11"/>
    <x v="0"/>
    <x v="38"/>
  </r>
  <r>
    <x v="99"/>
    <x v="0"/>
    <x v="1"/>
    <x v="0"/>
    <x v="0"/>
    <x v="0"/>
    <x v="0"/>
    <x v="0"/>
    <x v="1"/>
  </r>
  <r>
    <x v="100"/>
    <x v="3"/>
    <x v="10"/>
    <x v="2"/>
    <x v="0"/>
    <x v="3"/>
    <x v="1"/>
    <x v="2"/>
    <x v="15"/>
  </r>
  <r>
    <x v="100"/>
    <x v="3"/>
    <x v="10"/>
    <x v="5"/>
    <x v="0"/>
    <x v="6"/>
    <x v="1"/>
    <x v="18"/>
    <x v="15"/>
  </r>
  <r>
    <x v="101"/>
    <x v="0"/>
    <x v="7"/>
    <x v="0"/>
    <x v="2"/>
    <x v="11"/>
    <x v="22"/>
    <x v="0"/>
    <x v="7"/>
  </r>
  <r>
    <x v="102"/>
    <x v="0"/>
    <x v="7"/>
    <x v="0"/>
    <x v="2"/>
    <x v="11"/>
    <x v="22"/>
    <x v="0"/>
    <x v="7"/>
  </r>
  <r>
    <x v="102"/>
    <x v="0"/>
    <x v="6"/>
    <x v="0"/>
    <x v="2"/>
    <x v="11"/>
    <x v="22"/>
    <x v="0"/>
    <x v="6"/>
  </r>
  <r>
    <x v="103"/>
    <x v="0"/>
    <x v="8"/>
    <x v="0"/>
    <x v="0"/>
    <x v="0"/>
    <x v="0"/>
    <x v="0"/>
    <x v="9"/>
  </r>
  <r>
    <x v="103"/>
    <x v="10"/>
    <x v="15"/>
    <x v="0"/>
    <x v="1"/>
    <x v="1"/>
    <x v="23"/>
    <x v="0"/>
    <x v="21"/>
  </r>
  <r>
    <x v="104"/>
    <x v="0"/>
    <x v="7"/>
    <x v="0"/>
    <x v="2"/>
    <x v="11"/>
    <x v="22"/>
    <x v="0"/>
    <x v="7"/>
  </r>
  <r>
    <x v="105"/>
    <x v="0"/>
    <x v="6"/>
    <x v="0"/>
    <x v="0"/>
    <x v="0"/>
    <x v="0"/>
    <x v="0"/>
    <x v="6"/>
  </r>
  <r>
    <x v="106"/>
    <x v="0"/>
    <x v="0"/>
    <x v="0"/>
    <x v="0"/>
    <x v="0"/>
    <x v="0"/>
    <x v="0"/>
    <x v="0"/>
  </r>
  <r>
    <x v="107"/>
    <x v="0"/>
    <x v="7"/>
    <x v="0"/>
    <x v="1"/>
    <x v="1"/>
    <x v="23"/>
    <x v="0"/>
    <x v="7"/>
  </r>
  <r>
    <x v="108"/>
    <x v="18"/>
    <x v="20"/>
    <x v="10"/>
    <x v="1"/>
    <x v="12"/>
    <x v="1"/>
    <x v="20"/>
    <x v="39"/>
  </r>
  <r>
    <x v="109"/>
    <x v="0"/>
    <x v="7"/>
    <x v="0"/>
    <x v="0"/>
    <x v="0"/>
    <x v="0"/>
    <x v="0"/>
    <x v="7"/>
  </r>
  <r>
    <x v="110"/>
    <x v="0"/>
    <x v="7"/>
    <x v="0"/>
    <x v="0"/>
    <x v="0"/>
    <x v="0"/>
    <x v="0"/>
    <x v="7"/>
  </r>
  <r>
    <x v="110"/>
    <x v="0"/>
    <x v="6"/>
    <x v="0"/>
    <x v="0"/>
    <x v="0"/>
    <x v="1"/>
    <x v="1"/>
    <x v="6"/>
  </r>
  <r>
    <x v="110"/>
    <x v="0"/>
    <x v="8"/>
    <x v="0"/>
    <x v="0"/>
    <x v="0"/>
    <x v="0"/>
    <x v="0"/>
    <x v="9"/>
  </r>
  <r>
    <x v="110"/>
    <x v="0"/>
    <x v="6"/>
    <x v="0"/>
    <x v="0"/>
    <x v="0"/>
    <x v="3"/>
    <x v="1"/>
    <x v="6"/>
  </r>
  <r>
    <x v="110"/>
    <x v="0"/>
    <x v="7"/>
    <x v="0"/>
    <x v="0"/>
    <x v="0"/>
    <x v="0"/>
    <x v="0"/>
    <x v="7"/>
  </r>
  <r>
    <x v="110"/>
    <x v="0"/>
    <x v="1"/>
    <x v="0"/>
    <x v="0"/>
    <x v="0"/>
    <x v="2"/>
    <x v="2"/>
    <x v="1"/>
  </r>
  <r>
    <x v="110"/>
    <x v="0"/>
    <x v="11"/>
    <x v="0"/>
    <x v="0"/>
    <x v="0"/>
    <x v="1"/>
    <x v="1"/>
    <x v="16"/>
  </r>
  <r>
    <x v="110"/>
    <x v="0"/>
    <x v="0"/>
    <x v="0"/>
    <x v="0"/>
    <x v="0"/>
    <x v="0"/>
    <x v="0"/>
    <x v="0"/>
  </r>
  <r>
    <x v="110"/>
    <x v="0"/>
    <x v="0"/>
    <x v="0"/>
    <x v="0"/>
    <x v="0"/>
    <x v="0"/>
    <x v="0"/>
    <x v="0"/>
  </r>
  <r>
    <x v="110"/>
    <x v="0"/>
    <x v="11"/>
    <x v="0"/>
    <x v="0"/>
    <x v="0"/>
    <x v="1"/>
    <x v="1"/>
    <x v="16"/>
  </r>
  <r>
    <x v="110"/>
    <x v="0"/>
    <x v="0"/>
    <x v="0"/>
    <x v="0"/>
    <x v="0"/>
    <x v="0"/>
    <x v="0"/>
    <x v="0"/>
  </r>
  <r>
    <x v="110"/>
    <x v="0"/>
    <x v="7"/>
    <x v="0"/>
    <x v="1"/>
    <x v="1"/>
    <x v="23"/>
    <x v="0"/>
    <x v="7"/>
  </r>
  <r>
    <x v="110"/>
    <x v="10"/>
    <x v="15"/>
    <x v="0"/>
    <x v="1"/>
    <x v="1"/>
    <x v="23"/>
    <x v="0"/>
    <x v="21"/>
  </r>
  <r>
    <x v="111"/>
    <x v="19"/>
    <x v="5"/>
    <x v="1"/>
    <x v="0"/>
    <x v="2"/>
    <x v="9"/>
    <x v="0"/>
    <x v="40"/>
  </r>
  <r>
    <x v="112"/>
    <x v="0"/>
    <x v="7"/>
    <x v="0"/>
    <x v="2"/>
    <x v="11"/>
    <x v="22"/>
    <x v="0"/>
    <x v="7"/>
  </r>
  <r>
    <x v="113"/>
    <x v="0"/>
    <x v="0"/>
    <x v="0"/>
    <x v="0"/>
    <x v="0"/>
    <x v="9"/>
    <x v="5"/>
    <x v="0"/>
  </r>
  <r>
    <x v="113"/>
    <x v="0"/>
    <x v="7"/>
    <x v="0"/>
    <x v="1"/>
    <x v="1"/>
    <x v="23"/>
    <x v="0"/>
    <x v="7"/>
  </r>
  <r>
    <x v="114"/>
    <x v="0"/>
    <x v="8"/>
    <x v="0"/>
    <x v="0"/>
    <x v="0"/>
    <x v="0"/>
    <x v="0"/>
    <x v="9"/>
  </r>
  <r>
    <x v="114"/>
    <x v="2"/>
    <x v="18"/>
    <x v="2"/>
    <x v="0"/>
    <x v="3"/>
    <x v="1"/>
    <x v="2"/>
    <x v="41"/>
  </r>
  <r>
    <x v="115"/>
    <x v="0"/>
    <x v="7"/>
    <x v="0"/>
    <x v="2"/>
    <x v="11"/>
    <x v="22"/>
    <x v="0"/>
    <x v="7"/>
  </r>
  <r>
    <x v="115"/>
    <x v="0"/>
    <x v="0"/>
    <x v="0"/>
    <x v="0"/>
    <x v="0"/>
    <x v="2"/>
    <x v="2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5F4462-A8B4-CC4E-B0A0-E1660CB1399B}" name="PaperPivotTable" cacheId="44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W23" firstHeaderRow="1" firstDataRow="2" firstDataCol="1"/>
  <pivotFields count="9">
    <pivotField showAll="0" defaultSubtotal="0">
      <items count="116">
        <item x="12"/>
        <item x="113"/>
        <item x="114"/>
        <item x="115"/>
        <item x="50"/>
        <item x="83"/>
        <item x="84"/>
        <item x="87"/>
        <item x="85"/>
        <item x="86"/>
        <item x="88"/>
        <item x="89"/>
        <item x="90"/>
        <item x="91"/>
        <item x="92"/>
        <item x="93"/>
        <item x="94"/>
        <item x="95"/>
        <item x="96"/>
        <item x="97"/>
        <item x="99"/>
        <item x="100"/>
        <item x="101"/>
        <item x="98"/>
        <item x="102"/>
        <item x="103"/>
        <item x="58"/>
        <item x="104"/>
        <item x="31"/>
        <item x="30"/>
        <item x="32"/>
        <item x="105"/>
        <item x="33"/>
        <item x="34"/>
        <item x="106"/>
        <item x="35"/>
        <item x="38"/>
        <item x="29"/>
        <item x="107"/>
        <item x="37"/>
        <item x="108"/>
        <item x="109"/>
        <item x="39"/>
        <item x="47"/>
        <item x="40"/>
        <item x="41"/>
        <item x="110"/>
        <item x="111"/>
        <item x="42"/>
        <item x="43"/>
        <item x="44"/>
        <item x="45"/>
        <item x="8"/>
        <item x="46"/>
        <item x="112"/>
        <item x="48"/>
        <item x="49"/>
        <item x="51"/>
        <item x="15"/>
        <item x="52"/>
        <item x="57"/>
        <item x="61"/>
        <item x="62"/>
        <item x="63"/>
        <item x="5"/>
        <item x="64"/>
        <item x="56"/>
        <item x="60"/>
        <item x="54"/>
        <item x="53"/>
        <item x="55"/>
        <item x="18"/>
        <item x="17"/>
        <item x="68"/>
        <item x="69"/>
        <item x="7"/>
        <item x="65"/>
        <item x="72"/>
        <item x="66"/>
        <item x="27"/>
        <item x="67"/>
        <item x="74"/>
        <item x="73"/>
        <item x="75"/>
        <item x="76"/>
        <item x="71"/>
        <item x="16"/>
        <item x="70"/>
        <item x="6"/>
        <item x="77"/>
        <item x="79"/>
        <item x="78"/>
        <item x="9"/>
        <item x="80"/>
        <item x="81"/>
        <item x="82"/>
        <item x="4"/>
        <item x="59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36"/>
      </items>
    </pivotField>
    <pivotField axis="axisRow" showAll="0" defaultSubtotal="0">
      <items count="20">
        <item x="12"/>
        <item x="6"/>
        <item x="8"/>
        <item x="5"/>
        <item x="3"/>
        <item x="17"/>
        <item x="11"/>
        <item x="13"/>
        <item x="9"/>
        <item x="2"/>
        <item x="16"/>
        <item x="15"/>
        <item x="0"/>
        <item x="1"/>
        <item x="19"/>
        <item x="14"/>
        <item x="18"/>
        <item x="7"/>
        <item x="10"/>
        <item x="4"/>
      </items>
    </pivotField>
    <pivotField axis="axisCol" showAll="0" defaultSubtotal="0">
      <items count="21">
        <item x="14"/>
        <item x="3"/>
        <item x="12"/>
        <item x="19"/>
        <item x="18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7"/>
        <item x="11"/>
        <item x="20"/>
      </items>
    </pivotField>
    <pivotField showAll="0" defaultSubtotal="0">
      <items count="11">
        <item x="4"/>
        <item x="6"/>
        <item x="3"/>
        <item x="2"/>
        <item x="1"/>
        <item x="8"/>
        <item x="5"/>
        <item x="7"/>
        <item x="10"/>
        <item x="0"/>
        <item x="9"/>
      </items>
    </pivotField>
    <pivotField showAll="0" defaultSubtotal="0">
      <items count="3">
        <item x="0"/>
        <item x="1"/>
        <item x="2"/>
      </items>
    </pivotField>
    <pivotField showAll="0" defaultSubtotal="0">
      <items count="13">
        <item x="5"/>
        <item x="7"/>
        <item x="4"/>
        <item x="3"/>
        <item x="2"/>
        <item x="9"/>
        <item x="6"/>
        <item x="8"/>
        <item x="0"/>
        <item x="10"/>
        <item x="12"/>
        <item x="1"/>
        <item x="11"/>
      </items>
    </pivotField>
    <pivotField showAll="0" defaultSubtotal="0">
      <items count="24">
        <item x="3"/>
        <item x="16"/>
        <item x="6"/>
        <item x="19"/>
        <item x="12"/>
        <item x="21"/>
        <item x="5"/>
        <item x="11"/>
        <item x="18"/>
        <item x="9"/>
        <item x="15"/>
        <item x="17"/>
        <item x="14"/>
        <item x="2"/>
        <item x="8"/>
        <item x="7"/>
        <item x="4"/>
        <item x="10"/>
        <item x="13"/>
        <item x="0"/>
        <item x="20"/>
        <item x="23"/>
        <item x="22"/>
        <item x="1"/>
      </items>
    </pivotField>
    <pivotField dataField="1" showAll="0" defaultSubtotal="0">
      <items count="21">
        <item x="0"/>
        <item x="4"/>
        <item x="12"/>
        <item x="7"/>
        <item x="6"/>
        <item x="11"/>
        <item x="13"/>
        <item x="9"/>
        <item x="10"/>
        <item x="8"/>
        <item x="19"/>
        <item x="2"/>
        <item x="14"/>
        <item x="5"/>
        <item x="16"/>
        <item x="18"/>
        <item x="15"/>
        <item x="17"/>
        <item x="1"/>
        <item x="3"/>
        <item x="20"/>
      </items>
    </pivotField>
    <pivotField showAll="0" defaultSubtotal="0">
      <items count="42">
        <item x="28"/>
        <item x="17"/>
        <item x="19"/>
        <item x="14"/>
        <item x="32"/>
        <item x="33"/>
        <item x="15"/>
        <item x="10"/>
        <item x="38"/>
        <item x="25"/>
        <item x="29"/>
        <item x="23"/>
        <item x="35"/>
        <item x="20"/>
        <item x="34"/>
        <item x="36"/>
        <item x="41"/>
        <item x="30"/>
        <item x="5"/>
        <item x="24"/>
        <item x="11"/>
        <item x="22"/>
        <item x="6"/>
        <item x="9"/>
        <item x="4"/>
        <item x="7"/>
        <item x="0"/>
        <item x="1"/>
        <item x="16"/>
        <item x="3"/>
        <item x="40"/>
        <item x="31"/>
        <item x="39"/>
        <item x="18"/>
        <item x="27"/>
        <item x="37"/>
        <item x="21"/>
        <item x="26"/>
        <item x="8"/>
        <item x="2"/>
        <item x="12"/>
        <item x="13"/>
      </items>
    </pivotField>
  </pivotFields>
  <rowFields count="1">
    <field x="1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</rowItems>
  <colFields count="1">
    <field x="2"/>
  </colFields>
  <col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colItems>
  <dataFields count="1">
    <dataField name="Paper Summary" fld="7" baseField="0" baseItem="0"/>
  </dataFields>
  <formats count="5"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5:G238" totalsRowShown="0" headerRowDxfId="6" dataDxfId="5">
  <autoFilter ref="A5:G238" xr:uid="{00000000-0009-0000-0100-000001000000}">
    <filterColumn colId="6">
      <customFilters>
        <customFilter val="**"/>
      </customFilters>
    </filterColumn>
  </autoFilter>
  <tableColumns count="7">
    <tableColumn id="1" xr3:uid="{00000000-0010-0000-0000-000001000000}" name="First Order" dataDxfId="13"/>
    <tableColumn id="2" xr3:uid="{00000000-0010-0000-0000-000002000000}" name="Type" dataDxfId="12"/>
    <tableColumn id="3" xr3:uid="{00000000-0010-0000-0000-000003000000}" name="Location Index" dataDxfId="11"/>
    <tableColumn id="4" xr3:uid="{00000000-0010-0000-0000-000004000000}" name="NAME" dataDxfId="10"/>
    <tableColumn id="7" xr3:uid="{00000000-0010-0000-0000-000007000000}" name="REMAINING" dataDxfId="9"/>
    <tableColumn id="6" xr3:uid="{00000000-0010-0000-0000-000006000000}" name="IMPORT DATE" dataDxfId="8"/>
    <tableColumn id="9" xr3:uid="{00000000-0010-0000-0000-000009000000}" name="Index" dataDxfId="7">
      <calculatedColumnFormula>CONCATENATE(Table1[[#This Row],[Location Index]],Table1[[#This Row],[NAME]])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A5:I276" headerRowDxfId="47" dataDxfId="46" totalsRowDxfId="45">
  <autoFilter ref="A5:I276" xr:uid="{00000000-0009-0000-0100-000002000000}">
    <filterColumn colId="8">
      <customFilters>
        <customFilter val="**"/>
      </customFilters>
    </filterColumn>
  </autoFilter>
  <tableColumns count="9">
    <tableColumn id="1" xr3:uid="{00000000-0010-0000-0100-000001000000}" name="Arrival" totalsRowLabel="Total" dataDxfId="22" totalsRowDxfId="44"/>
    <tableColumn id="2" xr3:uid="{00000000-0010-0000-0100-000002000000}" name="Specs" dataDxfId="21" totalsRowDxfId="43"/>
    <tableColumn id="3" xr3:uid="{00000000-0010-0000-0100-000003000000}" name="Width" dataDxfId="20" totalsRowDxfId="42"/>
    <tableColumn id="4" xr3:uid="{00000000-0010-0000-0100-000004000000}" name="Length" dataDxfId="19" totalsRowDxfId="41"/>
    <tableColumn id="5" xr3:uid="{00000000-0010-0000-0100-000005000000}" name="Rolls" dataDxfId="18" totalsRowDxfId="40"/>
    <tableColumn id="6" xr3:uid="{00000000-0010-0000-0100-000006000000}" name="Total" dataDxfId="17" totalsRowDxfId="39">
      <calculatedColumnFormula>E6*D6</calculatedColumnFormula>
    </tableColumn>
    <tableColumn id="7" xr3:uid="{00000000-0010-0000-0100-000007000000}" name="Used" dataDxfId="16" totalsRowDxfId="38"/>
    <tableColumn id="8" xr3:uid="{00000000-0010-0000-0100-000008000000}" name="Remaining" dataDxfId="14" totalsRowDxfId="37">
      <calculatedColumnFormula>F6-G6</calculatedColumnFormula>
    </tableColumn>
    <tableColumn id="11" xr3:uid="{00000000-0010-0000-0100-00000B000000}" name="Index" totalsRowFunction="count" dataDxfId="15">
      <calculatedColumnFormula>CONCATENATE(Table2[[#This Row],[Specs]],Table2[[#This Row],[Width]])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A4:L32" totalsRowShown="0" headerRowDxfId="36" dataDxfId="35">
  <autoFilter ref="A4:L32" xr:uid="{00000000-0009-0000-0100-000003000000}"/>
  <tableColumns count="12">
    <tableColumn id="1" xr3:uid="{00000000-0010-0000-0200-000001000000}" name="Item" dataDxfId="34"/>
    <tableColumn id="12" xr3:uid="{00000000-0010-0000-0200-00000C000000}" name="Used" dataDxfId="33"/>
    <tableColumn id="11" xr3:uid="{00000000-0010-0000-0200-00000B000000}" name="Price" dataDxfId="32" dataCellStyle="Comma"/>
    <tableColumn id="2" xr3:uid="{00000000-0010-0000-0200-000002000000}" name="Order No." dataDxfId="31"/>
    <tableColumn id="10" xr3:uid="{00000000-0010-0000-0200-00000A000000}" name="Order Qty" dataDxfId="30"/>
    <tableColumn id="3" xr3:uid="{00000000-0010-0000-0200-000003000000}" name="一本" dataDxfId="29"/>
    <tableColumn id="4" xr3:uid="{00000000-0010-0000-0200-000004000000}" name="Size" dataDxfId="28"/>
    <tableColumn id="5" xr3:uid="{00000000-0010-0000-0200-000005000000}" name="Made Qty." dataDxfId="27"/>
    <tableColumn id="6" xr3:uid="{00000000-0010-0000-0200-000006000000}" name="No. of parts" dataDxfId="26"/>
    <tableColumn id="7" xr3:uid="{00000000-0010-0000-0200-000007000000}" name="Box Name" dataDxfId="25"/>
    <tableColumn id="8" xr3:uid="{00000000-0010-0000-0200-000008000000}" name="Production Date" dataDxfId="24"/>
    <tableColumn id="9" xr3:uid="{00000000-0010-0000-0200-000009000000}" name="No. of order last year" dataDxfId="2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H238"/>
  <sheetViews>
    <sheetView topLeftCell="B1" zoomScale="125" zoomScaleNormal="100" workbookViewId="0">
      <pane ySplit="5" topLeftCell="A6" activePane="bottomLeft" state="frozen"/>
      <selection pane="bottomLeft" activeCell="E15" sqref="E15"/>
    </sheetView>
  </sheetViews>
  <sheetFormatPr baseColWidth="10" defaultColWidth="9.19921875" defaultRowHeight="22"/>
  <cols>
    <col min="1" max="1" width="11" style="40" hidden="1" customWidth="1"/>
    <col min="2" max="2" width="5.3984375" style="40" bestFit="1" customWidth="1"/>
    <col min="3" max="3" width="13.3984375" style="40" bestFit="1" customWidth="1"/>
    <col min="4" max="4" width="27.3984375" style="40" bestFit="1" customWidth="1"/>
    <col min="5" max="5" width="10.59765625" style="40" customWidth="1"/>
    <col min="6" max="6" width="15.8984375" style="40" customWidth="1"/>
    <col min="7" max="7" width="9.3984375" style="40" hidden="1" customWidth="1"/>
    <col min="8" max="8" width="27.296875" style="40" customWidth="1"/>
    <col min="9" max="9" width="35.09765625" style="40" bestFit="1" customWidth="1"/>
    <col min="10" max="10" width="36.09765625" style="40" customWidth="1"/>
    <col min="11" max="22" width="10.3984375" style="40" customWidth="1"/>
    <col min="23" max="16384" width="9.19921875" style="40"/>
  </cols>
  <sheetData>
    <row r="1" spans="1:8" s="40" customFormat="1" ht="9" customHeight="1"/>
    <row r="2" spans="1:8" s="40" customFormat="1">
      <c r="C2" s="41"/>
      <c r="D2" s="40" t="s">
        <v>394</v>
      </c>
      <c r="F2" s="42" t="s">
        <v>224</v>
      </c>
      <c r="G2" s="36"/>
      <c r="H2" s="1"/>
    </row>
    <row r="3" spans="1:8" s="40" customFormat="1">
      <c r="A3" s="36"/>
      <c r="B3" s="36"/>
      <c r="C3" s="36"/>
      <c r="D3" s="36"/>
      <c r="F3" s="43">
        <f>LastSavedTimeStamp()</f>
        <v>45158.746203703704</v>
      </c>
      <c r="G3" s="36"/>
      <c r="H3" s="1"/>
    </row>
    <row r="4" spans="1:8" s="40" customFormat="1" ht="8" customHeight="1">
      <c r="A4" s="36"/>
      <c r="B4" s="36"/>
      <c r="C4" s="36"/>
      <c r="D4" s="36"/>
      <c r="E4" s="36"/>
      <c r="F4" s="36"/>
      <c r="G4" s="36"/>
      <c r="H4" s="1"/>
    </row>
    <row r="5" spans="1:8" s="40" customFormat="1">
      <c r="A5" s="36" t="s">
        <v>15</v>
      </c>
      <c r="B5" s="36" t="s">
        <v>393</v>
      </c>
      <c r="C5" s="36" t="s">
        <v>392</v>
      </c>
      <c r="D5" s="36" t="s">
        <v>16</v>
      </c>
      <c r="E5" s="36" t="s">
        <v>18</v>
      </c>
      <c r="F5" s="36" t="s">
        <v>17</v>
      </c>
      <c r="G5" s="36" t="s">
        <v>195</v>
      </c>
      <c r="H5" s="1"/>
    </row>
    <row r="6" spans="1:8" s="40" customFormat="1">
      <c r="A6" s="36" t="s">
        <v>20</v>
      </c>
      <c r="B6" s="36" t="s">
        <v>388</v>
      </c>
      <c r="C6" s="36">
        <v>3101</v>
      </c>
      <c r="D6" s="36" t="s">
        <v>21</v>
      </c>
      <c r="E6" s="36"/>
      <c r="F6" s="37">
        <v>43759</v>
      </c>
      <c r="G6" s="36" t="str">
        <f>CONCATENATE(Table1[[#This Row],[Location Index]],Table1[[#This Row],[NAME]])</f>
        <v>3101石油ソープ　D2628 赤</v>
      </c>
    </row>
    <row r="7" spans="1:8" s="40" customFormat="1">
      <c r="A7" s="44">
        <v>3</v>
      </c>
      <c r="B7" s="36" t="s">
        <v>20</v>
      </c>
      <c r="C7" s="36">
        <v>3101</v>
      </c>
      <c r="D7" s="36" t="s">
        <v>22</v>
      </c>
      <c r="E7" s="36"/>
      <c r="F7" s="37">
        <v>43704</v>
      </c>
      <c r="G7" s="36" t="str">
        <f>CONCATENATE(Table1[[#This Row],[Location Index]],Table1[[#This Row],[NAME]])</f>
        <v>3101前田工繊ペーブ金赤</v>
      </c>
    </row>
    <row r="8" spans="1:8" s="40" customFormat="1">
      <c r="A8" s="44">
        <v>4</v>
      </c>
      <c r="B8" s="36" t="s">
        <v>20</v>
      </c>
      <c r="C8" s="36">
        <v>3101</v>
      </c>
      <c r="D8" s="36" t="s">
        <v>23</v>
      </c>
      <c r="E8" s="36"/>
      <c r="F8" s="37">
        <v>43847</v>
      </c>
      <c r="G8" s="36" t="str">
        <f>CONCATENATE(Table1[[#This Row],[Location Index]],Table1[[#This Row],[NAME]])</f>
        <v>3101エコスマイル　W 赤</v>
      </c>
    </row>
    <row r="9" spans="1:8" s="40" customFormat="1">
      <c r="A9" s="44">
        <v>5</v>
      </c>
      <c r="B9" s="36" t="s">
        <v>20</v>
      </c>
      <c r="C9" s="36">
        <v>391</v>
      </c>
      <c r="D9" s="36" t="s">
        <v>24</v>
      </c>
      <c r="E9" s="36"/>
      <c r="F9" s="37">
        <v>43712</v>
      </c>
      <c r="G9" s="36" t="str">
        <f>CONCATENATE(Table1[[#This Row],[Location Index]],Table1[[#This Row],[NAME]])</f>
        <v>391ユタカ金赤</v>
      </c>
    </row>
    <row r="10" spans="1:8" s="40" customFormat="1">
      <c r="A10" s="44">
        <v>6</v>
      </c>
      <c r="B10" s="36" t="s">
        <v>20</v>
      </c>
      <c r="C10" s="36">
        <v>391</v>
      </c>
      <c r="D10" s="36" t="s">
        <v>25</v>
      </c>
      <c r="E10" s="36"/>
      <c r="F10" s="37">
        <v>43720</v>
      </c>
      <c r="G10" s="36" t="str">
        <f>CONCATENATE(Table1[[#This Row],[Location Index]],Table1[[#This Row],[NAME]])</f>
        <v>391D285 赤</v>
      </c>
    </row>
    <row r="11" spans="1:8" s="40" customFormat="1">
      <c r="A11" s="44">
        <v>7</v>
      </c>
      <c r="B11" s="36" t="s">
        <v>20</v>
      </c>
      <c r="C11" s="36">
        <v>391</v>
      </c>
      <c r="D11" s="36" t="s">
        <v>242</v>
      </c>
      <c r="E11" s="36"/>
      <c r="F11" s="37">
        <v>43605</v>
      </c>
      <c r="G11" s="36" t="str">
        <f>CONCATENATE(Table1[[#This Row],[Location Index]],Table1[[#This Row],[NAME]])</f>
        <v>391ロイヤルソフター　赤 DIC2632</v>
      </c>
    </row>
    <row r="12" spans="1:8" s="40" customFormat="1">
      <c r="A12" s="44">
        <v>8</v>
      </c>
      <c r="B12" s="36" t="s">
        <v>20</v>
      </c>
      <c r="C12" s="36">
        <v>371</v>
      </c>
      <c r="D12" s="36" t="s">
        <v>190</v>
      </c>
      <c r="E12" s="36"/>
      <c r="F12" s="37">
        <v>43307</v>
      </c>
      <c r="G12" s="36" t="str">
        <f>CONCATENATE(Table1[[#This Row],[Location Index]],Table1[[#This Row],[NAME]])</f>
        <v>371D-3 淡ピンク</v>
      </c>
    </row>
    <row r="13" spans="1:8" s="40" customFormat="1">
      <c r="A13" s="44">
        <v>9</v>
      </c>
      <c r="B13" s="36" t="s">
        <v>20</v>
      </c>
      <c r="C13" s="36">
        <v>341</v>
      </c>
      <c r="D13" s="36" t="s">
        <v>26</v>
      </c>
      <c r="E13" s="36"/>
      <c r="F13" s="37">
        <v>43759</v>
      </c>
      <c r="G13" s="36" t="str">
        <f>CONCATENATE(Table1[[#This Row],[Location Index]],Table1[[#This Row],[NAME]])</f>
        <v>341D-49 濃ピンク</v>
      </c>
    </row>
    <row r="14" spans="1:8" s="40" customFormat="1">
      <c r="A14" s="44">
        <v>10</v>
      </c>
      <c r="B14" s="36" t="s">
        <v>20</v>
      </c>
      <c r="C14" s="36">
        <v>351</v>
      </c>
      <c r="D14" s="36" t="s">
        <v>27</v>
      </c>
      <c r="E14" s="36"/>
      <c r="F14" s="37">
        <v>43699</v>
      </c>
      <c r="G14" s="36" t="str">
        <f>CONCATENATE(Table1[[#This Row],[Location Index]],Table1[[#This Row],[NAME]])</f>
        <v>351D-276 ピンク</v>
      </c>
    </row>
    <row r="15" spans="1:8" s="40" customFormat="1">
      <c r="A15" s="44">
        <v>11</v>
      </c>
      <c r="B15" s="36" t="s">
        <v>20</v>
      </c>
      <c r="C15" s="36">
        <v>361</v>
      </c>
      <c r="D15" s="36" t="s">
        <v>28</v>
      </c>
      <c r="E15" s="36"/>
      <c r="F15" s="37">
        <v>42985</v>
      </c>
      <c r="G15" s="36" t="str">
        <f>CONCATENATE(Table1[[#This Row],[Location Index]],Table1[[#This Row],[NAME]])</f>
        <v>361D24 ピンク</v>
      </c>
    </row>
    <row r="16" spans="1:8" s="40" customFormat="1">
      <c r="A16" s="44">
        <v>12</v>
      </c>
      <c r="B16" s="36" t="s">
        <v>20</v>
      </c>
      <c r="C16" s="36">
        <v>371</v>
      </c>
      <c r="D16" s="36" t="s">
        <v>29</v>
      </c>
      <c r="E16" s="36"/>
      <c r="F16" s="37">
        <v>42663</v>
      </c>
      <c r="G16" s="36" t="str">
        <f>CONCATENATE(Table1[[#This Row],[Location Index]],Table1[[#This Row],[NAME]])</f>
        <v>371D-77 ピンク（コート）</v>
      </c>
    </row>
    <row r="17" spans="1:7" s="40" customFormat="1">
      <c r="A17" s="44">
        <v>13</v>
      </c>
      <c r="B17" s="36" t="s">
        <v>20</v>
      </c>
      <c r="C17" s="36">
        <v>381</v>
      </c>
      <c r="D17" s="36" t="s">
        <v>30</v>
      </c>
      <c r="E17" s="36"/>
      <c r="F17" s="37">
        <v>42671</v>
      </c>
      <c r="G17" s="36" t="str">
        <f>CONCATENATE(Table1[[#This Row],[Location Index]],Table1[[#This Row],[NAME]])</f>
        <v>381D-499 エンジ（コート）</v>
      </c>
    </row>
    <row r="18" spans="1:7" s="40" customFormat="1">
      <c r="A18" s="44">
        <v>14</v>
      </c>
      <c r="B18" s="36" t="s">
        <v>20</v>
      </c>
      <c r="C18" s="36">
        <v>361</v>
      </c>
      <c r="D18" s="36" t="s">
        <v>31</v>
      </c>
      <c r="E18" s="36"/>
      <c r="F18" s="37">
        <v>43081</v>
      </c>
      <c r="G18" s="36" t="str">
        <f>CONCATENATE(Table1[[#This Row],[Location Index]],Table1[[#This Row],[NAME]])</f>
        <v>361D-2237 ピンク（コート）</v>
      </c>
    </row>
    <row r="19" spans="1:7" s="40" customFormat="1">
      <c r="A19" s="44">
        <v>15</v>
      </c>
      <c r="B19" s="36" t="s">
        <v>20</v>
      </c>
      <c r="C19" s="36">
        <v>361</v>
      </c>
      <c r="D19" s="36" t="s">
        <v>32</v>
      </c>
      <c r="E19" s="36"/>
      <c r="F19" s="36" t="s">
        <v>54</v>
      </c>
      <c r="G19" s="36" t="str">
        <f>CONCATENATE(Table1[[#This Row],[Location Index]],Table1[[#This Row],[NAME]])</f>
        <v>361D49 ピンク</v>
      </c>
    </row>
    <row r="20" spans="1:7" s="40" customFormat="1">
      <c r="A20" s="44">
        <v>16</v>
      </c>
      <c r="B20" s="36" t="s">
        <v>20</v>
      </c>
      <c r="C20" s="36">
        <v>341</v>
      </c>
      <c r="D20" s="36" t="s">
        <v>33</v>
      </c>
      <c r="E20" s="36"/>
      <c r="F20" s="37">
        <v>43804</v>
      </c>
      <c r="G20" s="36" t="str">
        <f>CONCATENATE(Table1[[#This Row],[Location Index]],Table1[[#This Row],[NAME]])</f>
        <v>341エストラル　AD19 桃</v>
      </c>
    </row>
    <row r="21" spans="1:7" s="40" customFormat="1">
      <c r="A21" s="44">
        <v>17</v>
      </c>
      <c r="B21" s="36" t="s">
        <v>20</v>
      </c>
      <c r="C21" s="36">
        <v>371</v>
      </c>
      <c r="D21" s="36" t="s">
        <v>34</v>
      </c>
      <c r="E21" s="36"/>
      <c r="F21" s="37">
        <v>43815</v>
      </c>
      <c r="G21" s="36" t="str">
        <f>CONCATENATE(Table1[[#This Row],[Location Index]],Table1[[#This Row],[NAME]])</f>
        <v>371ネオアーシュ　ピンク</v>
      </c>
    </row>
    <row r="22" spans="1:7" s="40" customFormat="1">
      <c r="A22" s="44">
        <v>18</v>
      </c>
      <c r="B22" s="36" t="s">
        <v>20</v>
      </c>
      <c r="C22" s="36">
        <v>351</v>
      </c>
      <c r="D22" s="38" t="s">
        <v>360</v>
      </c>
      <c r="E22" s="36"/>
      <c r="F22" s="37">
        <v>43577</v>
      </c>
      <c r="G22" s="36" t="str">
        <f>CONCATENATE(Table1[[#This Row],[Location Index]],Table1[[#This Row],[NAME]])</f>
        <v>351カイトコイン　ピンク</v>
      </c>
    </row>
    <row r="23" spans="1:7" s="40" customFormat="1">
      <c r="A23" s="44">
        <v>19</v>
      </c>
      <c r="B23" s="36" t="s">
        <v>20</v>
      </c>
      <c r="C23" s="36">
        <v>341</v>
      </c>
      <c r="D23" s="36" t="s">
        <v>33</v>
      </c>
      <c r="E23" s="36"/>
      <c r="F23" s="37">
        <v>43621</v>
      </c>
      <c r="G23" s="36" t="str">
        <f>CONCATENATE(Table1[[#This Row],[Location Index]],Table1[[#This Row],[NAME]])</f>
        <v>341エストラル　AD19 桃</v>
      </c>
    </row>
    <row r="24" spans="1:7" s="40" customFormat="1">
      <c r="A24" s="44">
        <v>20</v>
      </c>
      <c r="B24" s="36" t="s">
        <v>20</v>
      </c>
      <c r="C24" s="36">
        <v>331</v>
      </c>
      <c r="D24" s="36" t="s">
        <v>35</v>
      </c>
      <c r="E24" s="36"/>
      <c r="F24" s="37">
        <v>43796</v>
      </c>
      <c r="G24" s="36" t="str">
        <f>CONCATENATE(Table1[[#This Row],[Location Index]],Table1[[#This Row],[NAME]])</f>
        <v>331アスティーオン　オレンジ</v>
      </c>
    </row>
    <row r="25" spans="1:7" s="40" customFormat="1">
      <c r="A25" s="44">
        <v>21</v>
      </c>
      <c r="B25" s="36" t="s">
        <v>20</v>
      </c>
      <c r="C25" s="36">
        <v>331</v>
      </c>
      <c r="D25" s="36" t="s">
        <v>36</v>
      </c>
      <c r="E25" s="36"/>
      <c r="F25" s="37">
        <v>42662</v>
      </c>
      <c r="G25" s="36" t="str">
        <f>CONCATENATE(Table1[[#This Row],[Location Index]],Table1[[#This Row],[NAME]])</f>
        <v>331D82 オレンジ</v>
      </c>
    </row>
    <row r="26" spans="1:7" s="40" customFormat="1">
      <c r="A26" s="44">
        <v>22</v>
      </c>
      <c r="B26" s="36" t="s">
        <v>20</v>
      </c>
      <c r="C26" s="36">
        <v>331</v>
      </c>
      <c r="D26" s="36" t="s">
        <v>37</v>
      </c>
      <c r="E26" s="36"/>
      <c r="F26" s="37">
        <v>43805</v>
      </c>
      <c r="G26" s="36" t="str">
        <f>CONCATENATE(Table1[[#This Row],[Location Index]],Table1[[#This Row],[NAME]])</f>
        <v>331リフレシア　BW20 オレンジ</v>
      </c>
    </row>
    <row r="27" spans="1:7" s="40" customFormat="1">
      <c r="A27" s="44">
        <v>23</v>
      </c>
      <c r="B27" s="36" t="s">
        <v>20</v>
      </c>
      <c r="C27" s="36">
        <v>321</v>
      </c>
      <c r="D27" s="36" t="s">
        <v>38</v>
      </c>
      <c r="E27" s="36"/>
      <c r="F27" s="37">
        <v>43510</v>
      </c>
      <c r="G27" s="36" t="str">
        <f>CONCATENATE(Table1[[#This Row],[Location Index]],Table1[[#This Row],[NAME]])</f>
        <v>321エコスマイル　S オレンジ</v>
      </c>
    </row>
    <row r="28" spans="1:7" s="40" customFormat="1">
      <c r="A28" s="44">
        <v>24</v>
      </c>
      <c r="B28" s="36" t="s">
        <v>20</v>
      </c>
      <c r="C28" s="36">
        <v>321</v>
      </c>
      <c r="D28" s="36" t="s">
        <v>39</v>
      </c>
      <c r="E28" s="36"/>
      <c r="F28" s="37">
        <v>43612</v>
      </c>
      <c r="G28" s="36" t="str">
        <f>CONCATENATE(Table1[[#This Row],[Location Index]],Table1[[#This Row],[NAME]])</f>
        <v>321メディカール　AKDX オレンジ</v>
      </c>
    </row>
    <row r="29" spans="1:7" s="40" customFormat="1">
      <c r="A29" s="44">
        <v>25</v>
      </c>
      <c r="B29" s="36" t="s">
        <v>20</v>
      </c>
      <c r="C29" s="36">
        <v>321</v>
      </c>
      <c r="D29" s="36" t="s">
        <v>40</v>
      </c>
      <c r="E29" s="36"/>
      <c r="F29" s="37">
        <v>43742</v>
      </c>
      <c r="G29" s="36" t="str">
        <f>CONCATENATE(Table1[[#This Row],[Location Index]],Table1[[#This Row],[NAME]])</f>
        <v>321シャープ　洗浄剤　ラベル　オレンジ</v>
      </c>
    </row>
    <row r="30" spans="1:7" s="40" customFormat="1">
      <c r="A30" s="44">
        <v>26</v>
      </c>
      <c r="B30" s="36" t="s">
        <v>20</v>
      </c>
      <c r="C30" s="36">
        <v>311</v>
      </c>
      <c r="D30" s="36" t="s">
        <v>415</v>
      </c>
      <c r="E30" s="36"/>
      <c r="F30" s="37">
        <v>43616</v>
      </c>
      <c r="G30" s="36" t="str">
        <f>CONCATENATE(Table1[[#This Row],[Location Index]],Table1[[#This Row],[NAME]])</f>
        <v>311DIC83 ドライバリガードオレンジ</v>
      </c>
    </row>
    <row r="31" spans="1:7" s="40" customFormat="1">
      <c r="A31" s="44">
        <v>27</v>
      </c>
      <c r="B31" s="36" t="s">
        <v>20</v>
      </c>
      <c r="C31" s="36">
        <v>311</v>
      </c>
      <c r="D31" s="36" t="s">
        <v>42</v>
      </c>
      <c r="E31" s="36"/>
      <c r="F31" s="37">
        <v>43837</v>
      </c>
      <c r="G31" s="36" t="str">
        <f>CONCATENATE(Table1[[#This Row],[Location Index]],Table1[[#This Row],[NAME]])</f>
        <v>311ソイレスUN オレンジ</v>
      </c>
    </row>
    <row r="32" spans="1:7" s="40" customFormat="1">
      <c r="A32" s="44">
        <v>28</v>
      </c>
      <c r="B32" s="36" t="s">
        <v>20</v>
      </c>
      <c r="C32" s="36">
        <v>311</v>
      </c>
      <c r="D32" s="36" t="s">
        <v>44</v>
      </c>
      <c r="E32" s="36"/>
      <c r="F32" s="37">
        <v>43746</v>
      </c>
      <c r="G32" s="36" t="str">
        <f>CONCATENATE(Table1[[#This Row],[Location Index]],Table1[[#This Row],[NAME]])</f>
        <v>311かきもち　オレンジ</v>
      </c>
    </row>
    <row r="33" spans="1:7" s="40" customFormat="1">
      <c r="A33" s="44">
        <v>29</v>
      </c>
      <c r="B33" s="36" t="s">
        <v>20</v>
      </c>
      <c r="C33" s="36">
        <v>301</v>
      </c>
      <c r="D33" s="36" t="s">
        <v>45</v>
      </c>
      <c r="E33" s="36">
        <v>9</v>
      </c>
      <c r="F33" s="37">
        <v>43899</v>
      </c>
      <c r="G33" s="36" t="str">
        <f>CONCATENATE(Table1[[#This Row],[Location Index]],Table1[[#This Row],[NAME]])</f>
        <v>301ユタカ防災　オレンジ</v>
      </c>
    </row>
    <row r="34" spans="1:7" s="40" customFormat="1">
      <c r="A34" s="44">
        <v>30</v>
      </c>
      <c r="B34" s="36" t="s">
        <v>20</v>
      </c>
      <c r="C34" s="36">
        <v>302</v>
      </c>
      <c r="D34" s="36" t="s">
        <v>46</v>
      </c>
      <c r="E34" s="36"/>
      <c r="F34" s="37">
        <v>43518</v>
      </c>
      <c r="G34" s="36" t="str">
        <f>CONCATENATE(Table1[[#This Row],[Location Index]],Table1[[#This Row],[NAME]])</f>
        <v>302シャープ 洗浄剤　ラベル　オレンジ</v>
      </c>
    </row>
    <row r="35" spans="1:7" s="40" customFormat="1">
      <c r="A35" s="44">
        <v>31</v>
      </c>
      <c r="B35" s="36" t="s">
        <v>20</v>
      </c>
      <c r="C35" s="36">
        <v>301</v>
      </c>
      <c r="D35" s="36" t="s">
        <v>47</v>
      </c>
      <c r="E35" s="36"/>
      <c r="F35" s="37">
        <v>43761</v>
      </c>
      <c r="G35" s="36" t="str">
        <f>CONCATENATE(Table1[[#This Row],[Location Index]],Table1[[#This Row],[NAME]])</f>
        <v>301エストラルOB02 オレンジ</v>
      </c>
    </row>
    <row r="36" spans="1:7" s="40" customFormat="1">
      <c r="A36" s="44">
        <v>33</v>
      </c>
      <c r="B36" s="36" t="s">
        <v>48</v>
      </c>
      <c r="C36" s="36">
        <v>291</v>
      </c>
      <c r="D36" s="36" t="s">
        <v>49</v>
      </c>
      <c r="E36" s="36">
        <v>9</v>
      </c>
      <c r="F36" s="37">
        <v>42667</v>
      </c>
      <c r="G36" s="36" t="str">
        <f>CONCATENATE(Table1[[#This Row],[Location Index]],Table1[[#This Row],[NAME]])</f>
        <v>291耐減感出口様用　紺藍</v>
      </c>
    </row>
    <row r="37" spans="1:7" s="40" customFormat="1">
      <c r="A37" s="44">
        <v>34</v>
      </c>
      <c r="B37" s="36" t="s">
        <v>48</v>
      </c>
      <c r="C37" s="36">
        <v>121</v>
      </c>
      <c r="D37" s="36" t="s">
        <v>49</v>
      </c>
      <c r="E37" s="36">
        <v>10</v>
      </c>
      <c r="F37" s="37">
        <v>42667</v>
      </c>
      <c r="G37" s="36" t="str">
        <f>CONCATENATE(Table1[[#This Row],[Location Index]],Table1[[#This Row],[NAME]])</f>
        <v>121耐減感出口様用　紺藍</v>
      </c>
    </row>
    <row r="38" spans="1:7" s="40" customFormat="1">
      <c r="A38" s="44">
        <v>35</v>
      </c>
      <c r="B38" s="36" t="s">
        <v>48</v>
      </c>
      <c r="C38" s="36">
        <v>171</v>
      </c>
      <c r="D38" s="36" t="s">
        <v>49</v>
      </c>
      <c r="E38" s="36">
        <v>10</v>
      </c>
      <c r="F38" s="37">
        <v>42667</v>
      </c>
      <c r="G38" s="36" t="str">
        <f>CONCATENATE(Table1[[#This Row],[Location Index]],Table1[[#This Row],[NAME]])</f>
        <v>171耐減感出口様用　紺藍</v>
      </c>
    </row>
    <row r="39" spans="1:7" s="40" customFormat="1">
      <c r="A39" s="44">
        <v>36</v>
      </c>
      <c r="B39" s="36" t="s">
        <v>48</v>
      </c>
      <c r="C39" s="36">
        <v>161</v>
      </c>
      <c r="D39" s="36" t="s">
        <v>50</v>
      </c>
      <c r="E39" s="36">
        <v>10</v>
      </c>
      <c r="F39" s="37">
        <v>42740</v>
      </c>
      <c r="G39" s="36" t="str">
        <f>CONCATENATE(Table1[[#This Row],[Location Index]],Table1[[#This Row],[NAME]])</f>
        <v>161耐減感出口様用　11 濃緑</v>
      </c>
    </row>
    <row r="40" spans="1:7" s="40" customFormat="1">
      <c r="A40" s="44">
        <v>37</v>
      </c>
      <c r="B40" s="36" t="s">
        <v>48</v>
      </c>
      <c r="C40" s="36">
        <v>171</v>
      </c>
      <c r="D40" s="36" t="s">
        <v>50</v>
      </c>
      <c r="E40" s="36">
        <v>10</v>
      </c>
      <c r="F40" s="37">
        <v>42740</v>
      </c>
      <c r="G40" s="36" t="str">
        <f>CONCATENATE(Table1[[#This Row],[Location Index]],Table1[[#This Row],[NAME]])</f>
        <v>171耐減感出口様用　11 濃緑</v>
      </c>
    </row>
    <row r="41" spans="1:7" s="40" customFormat="1">
      <c r="A41" s="44">
        <v>38</v>
      </c>
      <c r="B41" s="36" t="s">
        <v>48</v>
      </c>
      <c r="C41" s="36">
        <v>181</v>
      </c>
      <c r="D41" s="36" t="s">
        <v>51</v>
      </c>
      <c r="E41" s="36">
        <v>10</v>
      </c>
      <c r="F41" s="37">
        <v>42516</v>
      </c>
      <c r="G41" s="36" t="str">
        <f>CONCATENATE(Table1[[#This Row],[Location Index]],Table1[[#This Row],[NAME]])</f>
        <v>181耐減感出口様用　牡丹</v>
      </c>
    </row>
    <row r="42" spans="1:7" s="40" customFormat="1">
      <c r="A42" s="44">
        <v>39</v>
      </c>
      <c r="B42" s="36" t="s">
        <v>20</v>
      </c>
      <c r="C42" s="36">
        <v>251</v>
      </c>
      <c r="D42" s="36" t="s">
        <v>416</v>
      </c>
      <c r="E42" s="36">
        <v>9</v>
      </c>
      <c r="F42" s="37">
        <v>44292</v>
      </c>
      <c r="G42" s="36" t="str">
        <f>CONCATENATE(Table1[[#This Row],[Location Index]],Table1[[#This Row],[NAME]])</f>
        <v>251J　シール用　D2175　水色</v>
      </c>
    </row>
    <row r="43" spans="1:7" s="40" customFormat="1">
      <c r="A43" s="44">
        <v>40</v>
      </c>
      <c r="B43" s="36" t="s">
        <v>20</v>
      </c>
      <c r="C43" s="36">
        <v>281</v>
      </c>
      <c r="D43" s="36" t="s">
        <v>53</v>
      </c>
      <c r="E43" s="36">
        <v>8</v>
      </c>
      <c r="F43" s="37">
        <v>43634</v>
      </c>
      <c r="G43" s="36" t="str">
        <f>CONCATENATE(Table1[[#This Row],[Location Index]],Table1[[#This Row],[NAME]])</f>
        <v>281白洋舎モップオイルH10 青</v>
      </c>
    </row>
    <row r="44" spans="1:7" s="40" customFormat="1">
      <c r="A44" s="44">
        <v>42</v>
      </c>
      <c r="B44" s="36" t="s">
        <v>20</v>
      </c>
      <c r="C44" s="36">
        <v>271</v>
      </c>
      <c r="D44" s="36" t="s">
        <v>55</v>
      </c>
      <c r="E44" s="36">
        <v>8</v>
      </c>
      <c r="F44" s="37">
        <v>43782</v>
      </c>
      <c r="G44" s="36" t="str">
        <f>CONCATENATE(Table1[[#This Row],[Location Index]],Table1[[#This Row],[NAME]])</f>
        <v>271D-182 青</v>
      </c>
    </row>
    <row r="45" spans="1:7" s="40" customFormat="1">
      <c r="A45" s="44">
        <v>43</v>
      </c>
      <c r="B45" s="36" t="s">
        <v>20</v>
      </c>
      <c r="C45" s="36">
        <v>271</v>
      </c>
      <c r="D45" s="36" t="s">
        <v>56</v>
      </c>
      <c r="E45" s="36">
        <v>9</v>
      </c>
      <c r="F45" s="37">
        <v>43782</v>
      </c>
      <c r="G45" s="36" t="str">
        <f>CONCATENATE(Table1[[#This Row],[Location Index]],Table1[[#This Row],[NAME]])</f>
        <v>271D-99 濃青</v>
      </c>
    </row>
    <row r="46" spans="1:7" s="40" customFormat="1">
      <c r="A46" s="44">
        <v>44</v>
      </c>
      <c r="B46" s="36" t="s">
        <v>20</v>
      </c>
      <c r="C46" s="36">
        <v>271</v>
      </c>
      <c r="D46" s="36" t="s">
        <v>57</v>
      </c>
      <c r="E46" s="36">
        <v>5</v>
      </c>
      <c r="F46" s="37">
        <v>43719</v>
      </c>
      <c r="G46" s="36" t="str">
        <f>CONCATENATE(Table1[[#This Row],[Location Index]],Table1[[#This Row],[NAME]])</f>
        <v>271D-180 青</v>
      </c>
    </row>
    <row r="47" spans="1:7" s="40" customFormat="1">
      <c r="A47" s="44">
        <v>45</v>
      </c>
      <c r="B47" s="36" t="s">
        <v>20</v>
      </c>
      <c r="C47" s="36">
        <v>261</v>
      </c>
      <c r="D47" s="36" t="s">
        <v>58</v>
      </c>
      <c r="E47" s="36">
        <v>6</v>
      </c>
      <c r="F47" s="37">
        <v>42713</v>
      </c>
      <c r="G47" s="36" t="str">
        <f>CONCATENATE(Table1[[#This Row],[Location Index]],Table1[[#This Row],[NAME]])</f>
        <v>261D-2166 青(コート)</v>
      </c>
    </row>
    <row r="48" spans="1:7" s="40" customFormat="1">
      <c r="A48" s="44">
        <v>46</v>
      </c>
      <c r="B48" s="36" t="s">
        <v>20</v>
      </c>
      <c r="C48" s="36">
        <v>261</v>
      </c>
      <c r="D48" s="36" t="s">
        <v>59</v>
      </c>
      <c r="E48" s="36">
        <v>4</v>
      </c>
      <c r="F48" s="37">
        <v>43602</v>
      </c>
      <c r="G48" s="36" t="str">
        <f>CONCATENATE(Table1[[#This Row],[Location Index]],Table1[[#This Row],[NAME]])</f>
        <v>261ケアウォッシュ(17KG) 青</v>
      </c>
    </row>
    <row r="49" spans="1:7" s="40" customFormat="1">
      <c r="A49" s="44">
        <v>47</v>
      </c>
      <c r="B49" s="36" t="s">
        <v>20</v>
      </c>
      <c r="C49" s="36">
        <v>261</v>
      </c>
      <c r="D49" s="36" t="s">
        <v>60</v>
      </c>
      <c r="E49" s="36">
        <v>6</v>
      </c>
      <c r="F49" s="37">
        <v>43272</v>
      </c>
      <c r="G49" s="36" t="str">
        <f>CONCATENATE(Table1[[#This Row],[Location Index]],Table1[[#This Row],[NAME]])</f>
        <v>261D-2167 水色</v>
      </c>
    </row>
    <row r="50" spans="1:7" s="40" customFormat="1">
      <c r="A50" s="44">
        <v>48</v>
      </c>
      <c r="B50" s="36" t="s">
        <v>20</v>
      </c>
      <c r="C50" s="36">
        <v>251</v>
      </c>
      <c r="D50" s="36" t="s">
        <v>61</v>
      </c>
      <c r="E50" s="36">
        <v>8</v>
      </c>
      <c r="F50" s="37">
        <v>43886</v>
      </c>
      <c r="G50" s="36" t="str">
        <f>CONCATENATE(Table1[[#This Row],[Location Index]],Table1[[#This Row],[NAME]])</f>
        <v>251ハナビアンVS150 水色</v>
      </c>
    </row>
    <row r="51" spans="1:7" s="40" customFormat="1">
      <c r="A51" s="44">
        <v>49</v>
      </c>
      <c r="B51" s="36" t="s">
        <v>20</v>
      </c>
      <c r="C51" s="36">
        <v>251</v>
      </c>
      <c r="D51" s="36" t="s">
        <v>58</v>
      </c>
      <c r="E51" s="36">
        <v>8</v>
      </c>
      <c r="F51" s="37">
        <v>43648</v>
      </c>
      <c r="G51" s="36" t="str">
        <f>CONCATENATE(Table1[[#This Row],[Location Index]],Table1[[#This Row],[NAME]])</f>
        <v>251D-2166 青(コート)</v>
      </c>
    </row>
    <row r="52" spans="1:7" s="40" customFormat="1">
      <c r="A52" s="44">
        <v>50</v>
      </c>
      <c r="B52" s="36" t="s">
        <v>20</v>
      </c>
      <c r="C52" s="36">
        <v>222</v>
      </c>
      <c r="D52" s="36" t="s">
        <v>62</v>
      </c>
      <c r="E52" s="36">
        <v>5</v>
      </c>
      <c r="F52" s="37">
        <v>43602</v>
      </c>
      <c r="G52" s="36" t="str">
        <f>CONCATENATE(Table1[[#This Row],[Location Index]],Table1[[#This Row],[NAME]])</f>
        <v>222D-641 青(コート)</v>
      </c>
    </row>
    <row r="53" spans="1:7" s="40" customFormat="1">
      <c r="A53" s="44">
        <v>51</v>
      </c>
      <c r="B53" s="36" t="s">
        <v>20</v>
      </c>
      <c r="C53" s="36">
        <v>241</v>
      </c>
      <c r="D53" s="36" t="s">
        <v>63</v>
      </c>
      <c r="E53" s="36">
        <v>6</v>
      </c>
      <c r="F53" s="37">
        <v>43081</v>
      </c>
      <c r="G53" s="36" t="str">
        <f>CONCATENATE(Table1[[#This Row],[Location Index]],Table1[[#This Row],[NAME]])</f>
        <v>241D-2167 水色(コート)</v>
      </c>
    </row>
    <row r="54" spans="1:7" s="40" customFormat="1">
      <c r="A54" s="44">
        <v>52</v>
      </c>
      <c r="B54" s="36" t="s">
        <v>20</v>
      </c>
      <c r="C54" s="36">
        <v>241</v>
      </c>
      <c r="D54" s="36" t="s">
        <v>64</v>
      </c>
      <c r="E54" s="36">
        <v>4</v>
      </c>
      <c r="F54" s="37">
        <v>42807</v>
      </c>
      <c r="G54" s="36" t="str">
        <f>CONCATENATE(Table1[[#This Row],[Location Index]],Table1[[#This Row],[NAME]])</f>
        <v>241D-2177 青(コート)</v>
      </c>
    </row>
    <row r="55" spans="1:7" s="40" customFormat="1">
      <c r="A55" s="44">
        <v>53</v>
      </c>
      <c r="B55" s="36" t="s">
        <v>20</v>
      </c>
      <c r="C55" s="36">
        <v>241</v>
      </c>
      <c r="D55" s="36" t="s">
        <v>65</v>
      </c>
      <c r="E55" s="36">
        <v>6</v>
      </c>
      <c r="F55" s="37">
        <v>43811</v>
      </c>
      <c r="G55" s="36" t="str">
        <f>CONCATENATE(Table1[[#This Row],[Location Index]],Table1[[#This Row],[NAME]])</f>
        <v>241D-178 浅葱</v>
      </c>
    </row>
    <row r="56" spans="1:7" s="40" customFormat="1">
      <c r="A56" s="44">
        <v>54</v>
      </c>
      <c r="B56" s="36" t="s">
        <v>20</v>
      </c>
      <c r="C56" s="36">
        <v>231</v>
      </c>
      <c r="D56" s="36" t="s">
        <v>66</v>
      </c>
      <c r="E56" s="36">
        <v>5</v>
      </c>
      <c r="F56" s="37">
        <v>43746</v>
      </c>
      <c r="G56" s="36" t="str">
        <f>CONCATENATE(Table1[[#This Row],[Location Index]],Table1[[#This Row],[NAME]])</f>
        <v>231D-140 青</v>
      </c>
    </row>
    <row r="57" spans="1:7" s="40" customFormat="1">
      <c r="A57" s="44">
        <v>55</v>
      </c>
      <c r="B57" s="36" t="s">
        <v>20</v>
      </c>
      <c r="C57" s="36">
        <v>231</v>
      </c>
      <c r="D57" s="36" t="s">
        <v>66</v>
      </c>
      <c r="E57" s="36">
        <v>5</v>
      </c>
      <c r="F57" s="36" t="s">
        <v>54</v>
      </c>
      <c r="G57" s="36" t="str">
        <f>CONCATENATE(Table1[[#This Row],[Location Index]],Table1[[#This Row],[NAME]])</f>
        <v>231D-140 青</v>
      </c>
    </row>
    <row r="58" spans="1:7" s="40" customFormat="1">
      <c r="A58" s="44">
        <v>56</v>
      </c>
      <c r="B58" s="36" t="s">
        <v>20</v>
      </c>
      <c r="C58" s="36">
        <v>231</v>
      </c>
      <c r="D58" s="36" t="s">
        <v>67</v>
      </c>
      <c r="E58" s="36">
        <v>5</v>
      </c>
      <c r="F58" s="37">
        <v>43796</v>
      </c>
      <c r="G58" s="36" t="str">
        <f>CONCATENATE(Table1[[#This Row],[Location Index]],Table1[[#This Row],[NAME]])</f>
        <v>231P-2726C 青</v>
      </c>
    </row>
    <row r="59" spans="1:7" s="40" customFormat="1">
      <c r="A59" s="44">
        <v>57</v>
      </c>
      <c r="B59" s="36" t="s">
        <v>20</v>
      </c>
      <c r="C59" s="36">
        <v>201</v>
      </c>
      <c r="D59" s="36" t="s">
        <v>211</v>
      </c>
      <c r="E59" s="36">
        <v>8</v>
      </c>
      <c r="F59" s="37">
        <v>43861</v>
      </c>
      <c r="G59" s="36" t="str">
        <f>CONCATENATE(Table1[[#This Row],[Location Index]],Table1[[#This Row],[NAME]])</f>
        <v>201ユタカ花粉ホコリ　青</v>
      </c>
    </row>
    <row r="60" spans="1:7" s="40" customFormat="1">
      <c r="A60" s="44">
        <v>58</v>
      </c>
      <c r="B60" s="36" t="s">
        <v>20</v>
      </c>
      <c r="C60" s="36">
        <v>221</v>
      </c>
      <c r="D60" s="36" t="s">
        <v>69</v>
      </c>
      <c r="E60" s="36">
        <v>3</v>
      </c>
      <c r="F60" s="37">
        <v>43573</v>
      </c>
      <c r="G60" s="36" t="str">
        <f>CONCATENATE(Table1[[#This Row],[Location Index]],Table1[[#This Row],[NAME]])</f>
        <v>221サンフレンド　青</v>
      </c>
    </row>
    <row r="61" spans="1:7" s="40" customFormat="1">
      <c r="A61" s="44">
        <v>59</v>
      </c>
      <c r="B61" s="36" t="s">
        <v>20</v>
      </c>
      <c r="C61" s="36">
        <v>221</v>
      </c>
      <c r="D61" s="36" t="s">
        <v>70</v>
      </c>
      <c r="E61" s="36">
        <v>8</v>
      </c>
      <c r="F61" s="37">
        <v>43602</v>
      </c>
      <c r="G61" s="36" t="str">
        <f>CONCATENATE(Table1[[#This Row],[Location Index]],Table1[[#This Row],[NAME]])</f>
        <v>221エコスマイル BO（10KG）青</v>
      </c>
    </row>
    <row r="62" spans="1:7" s="40" customFormat="1">
      <c r="A62" s="44">
        <v>60</v>
      </c>
      <c r="B62" s="36" t="s">
        <v>20</v>
      </c>
      <c r="C62" s="36">
        <v>222</v>
      </c>
      <c r="D62" s="36" t="s">
        <v>71</v>
      </c>
      <c r="E62" s="36">
        <v>8</v>
      </c>
      <c r="F62" s="37">
        <v>43844</v>
      </c>
      <c r="G62" s="36" t="str">
        <f>CONCATENATE(Table1[[#This Row],[Location Index]],Table1[[#This Row],[NAME]])</f>
        <v>222愛育病院内用薬　青</v>
      </c>
    </row>
    <row r="63" spans="1:7" s="40" customFormat="1">
      <c r="A63" s="44">
        <v>61</v>
      </c>
      <c r="B63" s="36" t="s">
        <v>20</v>
      </c>
      <c r="C63" s="36">
        <v>211</v>
      </c>
      <c r="D63" s="36" t="s">
        <v>72</v>
      </c>
      <c r="E63" s="36">
        <v>8</v>
      </c>
      <c r="F63" s="37">
        <v>43787</v>
      </c>
      <c r="G63" s="36" t="str">
        <f>CONCATENATE(Table1[[#This Row],[Location Index]],Table1[[#This Row],[NAME]])</f>
        <v>211テクノクリアN5L 水色</v>
      </c>
    </row>
    <row r="64" spans="1:7" s="40" customFormat="1">
      <c r="A64" s="44">
        <v>62</v>
      </c>
      <c r="B64" s="36" t="s">
        <v>20</v>
      </c>
      <c r="C64" s="36">
        <v>211</v>
      </c>
      <c r="D64" s="36" t="s">
        <v>73</v>
      </c>
      <c r="E64" s="36">
        <v>5</v>
      </c>
      <c r="F64" s="37">
        <v>43580</v>
      </c>
      <c r="G64" s="36" t="str">
        <f>CONCATENATE(Table1[[#This Row],[Location Index]],Table1[[#This Row],[NAME]])</f>
        <v>211ドライスター　青</v>
      </c>
    </row>
    <row r="65" spans="1:7" s="40" customFormat="1">
      <c r="A65" s="44">
        <v>63</v>
      </c>
      <c r="B65" s="36" t="s">
        <v>20</v>
      </c>
      <c r="C65" s="36">
        <v>221</v>
      </c>
      <c r="D65" s="36" t="s">
        <v>74</v>
      </c>
      <c r="E65" s="36">
        <v>8</v>
      </c>
      <c r="F65" s="37">
        <v>43573</v>
      </c>
      <c r="G65" s="36" t="str">
        <f>CONCATENATE(Table1[[#This Row],[Location Index]],Table1[[#This Row],[NAME]])</f>
        <v>221サンフレンド 青</v>
      </c>
    </row>
    <row r="66" spans="1:7" s="40" customFormat="1">
      <c r="A66" s="44">
        <v>64</v>
      </c>
      <c r="B66" s="36" t="s">
        <v>20</v>
      </c>
      <c r="C66" s="36">
        <v>201</v>
      </c>
      <c r="D66" s="36" t="s">
        <v>75</v>
      </c>
      <c r="E66" s="36">
        <v>8</v>
      </c>
      <c r="F66" s="37">
        <v>43605</v>
      </c>
      <c r="G66" s="36" t="str">
        <f>CONCATENATE(Table1[[#This Row],[Location Index]],Table1[[#This Row],[NAME]])</f>
        <v>201WASHハウスソープ</v>
      </c>
    </row>
    <row r="67" spans="1:7" s="40" customFormat="1">
      <c r="A67" s="44">
        <v>65</v>
      </c>
      <c r="B67" s="36" t="s">
        <v>20</v>
      </c>
      <c r="C67" s="36">
        <v>201</v>
      </c>
      <c r="D67" s="36" t="s">
        <v>76</v>
      </c>
      <c r="E67" s="36">
        <v>5</v>
      </c>
      <c r="F67" s="37">
        <v>43720</v>
      </c>
      <c r="G67" s="36" t="str">
        <f>CONCATENATE(Table1[[#This Row],[Location Index]],Table1[[#This Row],[NAME]])</f>
        <v>201サンレックス3.5 青</v>
      </c>
    </row>
    <row r="68" spans="1:7" s="40" customFormat="1">
      <c r="A68" s="44">
        <v>67</v>
      </c>
      <c r="B68" s="36" t="s">
        <v>20</v>
      </c>
      <c r="C68" s="36">
        <v>1101</v>
      </c>
      <c r="D68" s="36" t="s">
        <v>77</v>
      </c>
      <c r="E68" s="36">
        <v>10</v>
      </c>
      <c r="F68" s="37">
        <v>43563</v>
      </c>
      <c r="G68" s="36" t="str">
        <f>CONCATENATE(Table1[[#This Row],[Location Index]],Table1[[#This Row],[NAME]])</f>
        <v>1101D-156 赤</v>
      </c>
    </row>
    <row r="69" spans="1:7" s="40" customFormat="1">
      <c r="A69" s="44">
        <v>68</v>
      </c>
      <c r="B69" s="36" t="s">
        <v>20</v>
      </c>
      <c r="C69" s="36">
        <v>1101</v>
      </c>
      <c r="D69" s="36" t="s">
        <v>78</v>
      </c>
      <c r="E69" s="36">
        <v>10</v>
      </c>
      <c r="F69" s="37">
        <v>43742</v>
      </c>
      <c r="G69" s="36" t="str">
        <f>CONCATENATE(Table1[[#This Row],[Location Index]],Table1[[#This Row],[NAME]])</f>
        <v>1101ロイヤルソフター  赤</v>
      </c>
    </row>
    <row r="70" spans="1:7" s="40" customFormat="1">
      <c r="A70" s="44">
        <v>69</v>
      </c>
      <c r="B70" s="36" t="s">
        <v>20</v>
      </c>
      <c r="C70" s="36">
        <v>1101</v>
      </c>
      <c r="D70" s="36" t="s">
        <v>79</v>
      </c>
      <c r="E70" s="36">
        <v>10</v>
      </c>
      <c r="F70" s="37">
        <v>43756</v>
      </c>
      <c r="G70" s="36" t="str">
        <f>CONCATENATE(Table1[[#This Row],[Location Index]],Table1[[#This Row],[NAME]])</f>
        <v>1101ニッカサンブリーチ　赤</v>
      </c>
    </row>
    <row r="71" spans="1:7" s="40" customFormat="1">
      <c r="A71" s="44">
        <v>70</v>
      </c>
      <c r="B71" s="36" t="s">
        <v>20</v>
      </c>
      <c r="C71" s="36">
        <v>231</v>
      </c>
      <c r="D71" s="36" t="s">
        <v>77</v>
      </c>
      <c r="E71" s="36">
        <v>10</v>
      </c>
      <c r="F71" s="37">
        <v>43742</v>
      </c>
      <c r="G71" s="36" t="str">
        <f>CONCATENATE(Table1[[#This Row],[Location Index]],Table1[[#This Row],[NAME]])</f>
        <v>231D-156 赤</v>
      </c>
    </row>
    <row r="72" spans="1:7" s="40" customFormat="1">
      <c r="A72" s="44">
        <v>71</v>
      </c>
      <c r="B72" s="36" t="s">
        <v>20</v>
      </c>
      <c r="C72" s="36">
        <v>191</v>
      </c>
      <c r="D72" s="36" t="s">
        <v>26</v>
      </c>
      <c r="E72" s="36">
        <v>10</v>
      </c>
      <c r="F72" s="37">
        <v>43307</v>
      </c>
      <c r="G72" s="36" t="str">
        <f>CONCATENATE(Table1[[#This Row],[Location Index]],Table1[[#This Row],[NAME]])</f>
        <v>191D-49 濃ピンク</v>
      </c>
    </row>
    <row r="73" spans="1:7" s="40" customFormat="1">
      <c r="A73" s="44">
        <v>72</v>
      </c>
      <c r="B73" s="36" t="s">
        <v>20</v>
      </c>
      <c r="C73" s="36">
        <v>191</v>
      </c>
      <c r="D73" s="36" t="s">
        <v>80</v>
      </c>
      <c r="E73" s="36">
        <v>10</v>
      </c>
      <c r="F73" s="37">
        <v>43746</v>
      </c>
      <c r="G73" s="36" t="str">
        <f>CONCATENATE(Table1[[#This Row],[Location Index]],Table1[[#This Row],[NAME]])</f>
        <v>191D-24 ピンク</v>
      </c>
    </row>
    <row r="74" spans="1:7" s="40" customFormat="1">
      <c r="A74" s="44">
        <v>73</v>
      </c>
      <c r="B74" s="36" t="s">
        <v>20</v>
      </c>
      <c r="C74" s="36">
        <v>191</v>
      </c>
      <c r="D74" s="36" t="s">
        <v>81</v>
      </c>
      <c r="E74" s="36">
        <v>0</v>
      </c>
      <c r="F74" s="37">
        <v>43755</v>
      </c>
      <c r="G74" s="36" t="str">
        <f>CONCATENATE(Table1[[#This Row],[Location Index]],Table1[[#This Row],[NAME]])</f>
        <v>191墨S</v>
      </c>
    </row>
    <row r="75" spans="1:7" s="40" customFormat="1">
      <c r="A75" s="44">
        <v>74</v>
      </c>
      <c r="B75" s="36" t="s">
        <v>20</v>
      </c>
      <c r="C75" s="36">
        <v>181</v>
      </c>
      <c r="D75" s="36" t="s">
        <v>82</v>
      </c>
      <c r="E75" s="36">
        <v>10</v>
      </c>
      <c r="F75" s="37">
        <v>43812</v>
      </c>
      <c r="G75" s="36" t="str">
        <f>CONCATENATE(Table1[[#This Row],[Location Index]],Table1[[#This Row],[NAME]])</f>
        <v>181ユタカ500265 ピンク</v>
      </c>
    </row>
    <row r="76" spans="1:7" s="40" customFormat="1">
      <c r="A76" s="44">
        <v>75</v>
      </c>
      <c r="B76" s="36" t="s">
        <v>20</v>
      </c>
      <c r="C76" s="36">
        <v>171</v>
      </c>
      <c r="D76" s="36" t="s">
        <v>41</v>
      </c>
      <c r="E76" s="36">
        <v>10</v>
      </c>
      <c r="F76" s="37">
        <v>43697</v>
      </c>
      <c r="G76" s="36" t="str">
        <f>CONCATENATE(Table1[[#This Row],[Location Index]],Table1[[#This Row],[NAME]])</f>
        <v>171ドライバリガードオレンジ</v>
      </c>
    </row>
    <row r="77" spans="1:7" s="40" customFormat="1">
      <c r="A77" s="44">
        <v>76</v>
      </c>
      <c r="B77" s="36" t="s">
        <v>20</v>
      </c>
      <c r="C77" s="36">
        <v>171</v>
      </c>
      <c r="D77" s="36" t="s">
        <v>83</v>
      </c>
      <c r="E77" s="36">
        <v>10</v>
      </c>
      <c r="F77" s="37">
        <v>43340</v>
      </c>
      <c r="G77" s="36" t="str">
        <f>CONCATENATE(Table1[[#This Row],[Location Index]],Table1[[#This Row],[NAME]])</f>
        <v>171D-82 オレンジ</v>
      </c>
    </row>
    <row r="78" spans="1:7" s="40" customFormat="1">
      <c r="A78" s="44">
        <v>77</v>
      </c>
      <c r="B78" s="36" t="s">
        <v>20</v>
      </c>
      <c r="C78" s="36">
        <v>161</v>
      </c>
      <c r="D78" s="36" t="s">
        <v>84</v>
      </c>
      <c r="E78" s="36">
        <v>10</v>
      </c>
      <c r="F78" s="37">
        <v>43697</v>
      </c>
      <c r="G78" s="36" t="str">
        <f>CONCATENATE(Table1[[#This Row],[Location Index]],Table1[[#This Row],[NAME]])</f>
        <v>161ドライスター　黄</v>
      </c>
    </row>
    <row r="79" spans="1:7" s="40" customFormat="1">
      <c r="A79" s="44">
        <v>78</v>
      </c>
      <c r="B79" s="36" t="s">
        <v>20</v>
      </c>
      <c r="C79" s="36">
        <v>161</v>
      </c>
      <c r="D79" s="36" t="s">
        <v>85</v>
      </c>
      <c r="E79" s="36">
        <v>10</v>
      </c>
      <c r="F79" s="37">
        <v>43756</v>
      </c>
      <c r="G79" s="36" t="str">
        <f>CONCATENATE(Table1[[#This Row],[Location Index]],Table1[[#This Row],[NAME]])</f>
        <v>161ニッカサンブリーチ 黄</v>
      </c>
    </row>
    <row r="80" spans="1:7" s="40" customFormat="1">
      <c r="A80" s="44">
        <v>79</v>
      </c>
      <c r="B80" s="36" t="s">
        <v>20</v>
      </c>
      <c r="C80" s="36">
        <v>151</v>
      </c>
      <c r="D80" s="36" t="s">
        <v>86</v>
      </c>
      <c r="E80" s="36">
        <v>10</v>
      </c>
      <c r="F80" s="37">
        <v>43880</v>
      </c>
      <c r="G80" s="36" t="str">
        <f>CONCATENATE(Table1[[#This Row],[Location Index]],Table1[[#This Row],[NAME]])</f>
        <v>151ルピランソープ　緑</v>
      </c>
    </row>
    <row r="81" spans="1:7" s="40" customFormat="1">
      <c r="A81" s="44">
        <v>80</v>
      </c>
      <c r="B81" s="36" t="s">
        <v>20</v>
      </c>
      <c r="C81" s="36">
        <v>151</v>
      </c>
      <c r="D81" s="36" t="s">
        <v>87</v>
      </c>
      <c r="E81" s="36">
        <v>10</v>
      </c>
      <c r="F81" s="37">
        <v>43573</v>
      </c>
      <c r="G81" s="36" t="str">
        <f>CONCATENATE(Table1[[#This Row],[Location Index]],Table1[[#This Row],[NAME]])</f>
        <v>151オーリス　緑</v>
      </c>
    </row>
    <row r="82" spans="1:7" s="40" customFormat="1">
      <c r="A82" s="44">
        <v>81</v>
      </c>
      <c r="B82" s="36" t="s">
        <v>20</v>
      </c>
      <c r="C82" s="36">
        <v>151</v>
      </c>
      <c r="D82" s="36" t="s">
        <v>87</v>
      </c>
      <c r="E82" s="36">
        <v>10</v>
      </c>
      <c r="F82" s="37">
        <v>43573</v>
      </c>
      <c r="G82" s="36" t="str">
        <f>CONCATENATE(Table1[[#This Row],[Location Index]],Table1[[#This Row],[NAME]])</f>
        <v>151オーリス　緑</v>
      </c>
    </row>
    <row r="83" spans="1:7" s="40" customFormat="1">
      <c r="A83" s="44">
        <v>82</v>
      </c>
      <c r="B83" s="36" t="s">
        <v>20</v>
      </c>
      <c r="C83" s="36">
        <v>141</v>
      </c>
      <c r="D83" s="36" t="s">
        <v>88</v>
      </c>
      <c r="E83" s="36">
        <v>10</v>
      </c>
      <c r="F83" s="37">
        <v>43742</v>
      </c>
      <c r="G83" s="36" t="str">
        <f>CONCATENATE(Table1[[#This Row],[Location Index]],Table1[[#This Row],[NAME]])</f>
        <v>141D-2650 緑</v>
      </c>
    </row>
    <row r="84" spans="1:7" s="40" customFormat="1">
      <c r="A84" s="44">
        <v>83</v>
      </c>
      <c r="B84" s="36" t="s">
        <v>20</v>
      </c>
      <c r="C84" s="36">
        <v>141</v>
      </c>
      <c r="D84" s="36" t="s">
        <v>89</v>
      </c>
      <c r="E84" s="36">
        <v>10</v>
      </c>
      <c r="F84" s="37">
        <v>43805</v>
      </c>
      <c r="G84" s="36" t="str">
        <f>CONCATENATE(Table1[[#This Row],[Location Index]],Table1[[#This Row],[NAME]])</f>
        <v>141ELP 緑</v>
      </c>
    </row>
    <row r="85" spans="1:7" s="40" customFormat="1">
      <c r="A85" s="44">
        <v>84</v>
      </c>
      <c r="B85" s="36" t="s">
        <v>20</v>
      </c>
      <c r="C85" s="36">
        <v>141</v>
      </c>
      <c r="D85" s="36" t="s">
        <v>90</v>
      </c>
      <c r="E85" s="36">
        <v>10</v>
      </c>
      <c r="F85" s="37">
        <v>43669</v>
      </c>
      <c r="G85" s="36" t="str">
        <f>CONCATENATE(Table1[[#This Row],[Location Index]],Table1[[#This Row],[NAME]])</f>
        <v>141D-638 緑</v>
      </c>
    </row>
    <row r="86" spans="1:7" s="40" customFormat="1">
      <c r="A86" s="44">
        <v>85</v>
      </c>
      <c r="B86" s="36" t="s">
        <v>20</v>
      </c>
      <c r="C86" s="36">
        <v>222</v>
      </c>
      <c r="D86" s="36" t="s">
        <v>66</v>
      </c>
      <c r="E86" s="36">
        <v>9</v>
      </c>
      <c r="F86" s="37">
        <v>43616</v>
      </c>
      <c r="G86" s="36" t="str">
        <f>CONCATENATE(Table1[[#This Row],[Location Index]],Table1[[#This Row],[NAME]])</f>
        <v>222D-140 青</v>
      </c>
    </row>
    <row r="87" spans="1:7" s="40" customFormat="1">
      <c r="A87" s="44">
        <v>86</v>
      </c>
      <c r="B87" s="36" t="s">
        <v>20</v>
      </c>
      <c r="C87" s="36">
        <v>131</v>
      </c>
      <c r="D87" s="36" t="s">
        <v>62</v>
      </c>
      <c r="E87" s="36">
        <v>10</v>
      </c>
      <c r="F87" s="37">
        <v>43748</v>
      </c>
      <c r="G87" s="36" t="str">
        <f>CONCATENATE(Table1[[#This Row],[Location Index]],Table1[[#This Row],[NAME]])</f>
        <v>131D-641 青(コート)</v>
      </c>
    </row>
    <row r="88" spans="1:7" s="40" customFormat="1">
      <c r="A88" s="44">
        <v>87</v>
      </c>
      <c r="B88" s="36" t="s">
        <v>20</v>
      </c>
      <c r="C88" s="36">
        <v>121</v>
      </c>
      <c r="D88" s="36" t="s">
        <v>64</v>
      </c>
      <c r="E88" s="36">
        <v>10</v>
      </c>
      <c r="F88" s="37">
        <v>43081</v>
      </c>
      <c r="G88" s="36" t="str">
        <f>CONCATENATE(Table1[[#This Row],[Location Index]],Table1[[#This Row],[NAME]])</f>
        <v>121D-2177 青(コート)</v>
      </c>
    </row>
    <row r="89" spans="1:7" s="40" customFormat="1">
      <c r="A89" s="44">
        <v>88</v>
      </c>
      <c r="B89" s="36" t="s">
        <v>20</v>
      </c>
      <c r="C89" s="36">
        <v>121</v>
      </c>
      <c r="D89" s="36" t="s">
        <v>64</v>
      </c>
      <c r="E89" s="36">
        <v>10</v>
      </c>
      <c r="F89" s="37">
        <v>43188</v>
      </c>
      <c r="G89" s="36" t="str">
        <f>CONCATENATE(Table1[[#This Row],[Location Index]],Table1[[#This Row],[NAME]])</f>
        <v>121D-2177 青(コート)</v>
      </c>
    </row>
    <row r="90" spans="1:7" s="40" customFormat="1">
      <c r="A90" s="44">
        <v>89</v>
      </c>
      <c r="B90" s="36" t="s">
        <v>20</v>
      </c>
      <c r="C90" s="36">
        <v>111</v>
      </c>
      <c r="D90" s="36" t="s">
        <v>91</v>
      </c>
      <c r="E90" s="36">
        <v>10</v>
      </c>
      <c r="F90" s="37">
        <v>43573</v>
      </c>
      <c r="G90" s="36" t="str">
        <f>CONCATENATE(Table1[[#This Row],[Location Index]],Table1[[#This Row],[NAME]])</f>
        <v>111イスタポール　青</v>
      </c>
    </row>
    <row r="91" spans="1:7" s="40" customFormat="1">
      <c r="A91" s="44">
        <v>90</v>
      </c>
      <c r="B91" s="36" t="s">
        <v>20</v>
      </c>
      <c r="C91" s="36">
        <v>111</v>
      </c>
      <c r="D91" s="36" t="s">
        <v>91</v>
      </c>
      <c r="E91" s="36">
        <v>10</v>
      </c>
      <c r="F91" s="37">
        <v>43573</v>
      </c>
      <c r="G91" s="36" t="str">
        <f>CONCATENATE(Table1[[#This Row],[Location Index]],Table1[[#This Row],[NAME]])</f>
        <v>111イスタポール　青</v>
      </c>
    </row>
    <row r="92" spans="1:7" s="40" customFormat="1">
      <c r="A92" s="44">
        <v>91</v>
      </c>
      <c r="B92" s="36" t="s">
        <v>20</v>
      </c>
      <c r="C92" s="36">
        <v>111</v>
      </c>
      <c r="D92" s="36" t="s">
        <v>92</v>
      </c>
      <c r="E92" s="36">
        <v>10</v>
      </c>
      <c r="F92" s="37">
        <v>43697</v>
      </c>
      <c r="G92" s="36" t="str">
        <f>CONCATENATE(Table1[[#This Row],[Location Index]],Table1[[#This Row],[NAME]])</f>
        <v>111ドライイスター　青</v>
      </c>
    </row>
    <row r="93" spans="1:7" s="40" customFormat="1">
      <c r="A93" s="44">
        <v>92</v>
      </c>
      <c r="B93" s="36" t="s">
        <v>20</v>
      </c>
      <c r="C93" s="36">
        <v>242</v>
      </c>
      <c r="D93" s="36" t="s">
        <v>93</v>
      </c>
      <c r="E93" s="36">
        <v>10</v>
      </c>
      <c r="F93" s="37">
        <v>43770</v>
      </c>
      <c r="G93" s="36" t="str">
        <f>CONCATENATE(Table1[[#This Row],[Location Index]],Table1[[#This Row],[NAME]])</f>
        <v>242ユタカ　浅葱</v>
      </c>
    </row>
    <row r="94" spans="1:7" s="40" customFormat="1">
      <c r="A94" s="44">
        <v>93</v>
      </c>
      <c r="B94" s="36" t="s">
        <v>20</v>
      </c>
      <c r="C94" s="36">
        <v>101</v>
      </c>
      <c r="D94" s="36" t="s">
        <v>94</v>
      </c>
      <c r="E94" s="36">
        <v>10</v>
      </c>
      <c r="F94" s="37">
        <v>43612</v>
      </c>
      <c r="G94" s="36" t="str">
        <f>CONCATENATE(Table1[[#This Row],[Location Index]],Table1[[#This Row],[NAME]])</f>
        <v>101STERISH N104(4L）　青</v>
      </c>
    </row>
    <row r="95" spans="1:7" s="40" customFormat="1">
      <c r="A95" s="44">
        <v>94</v>
      </c>
      <c r="B95" s="36" t="s">
        <v>20</v>
      </c>
      <c r="C95" s="36">
        <v>101</v>
      </c>
      <c r="D95" s="36" t="s">
        <v>95</v>
      </c>
      <c r="E95" s="36">
        <v>10</v>
      </c>
      <c r="F95" s="37">
        <v>43746</v>
      </c>
      <c r="G95" s="36" t="str">
        <f>CONCATENATE(Table1[[#This Row],[Location Index]],Table1[[#This Row],[NAME]])</f>
        <v>101WASH ハウスソープ　青</v>
      </c>
    </row>
    <row r="96" spans="1:7" s="40" customFormat="1">
      <c r="A96" s="44">
        <v>95</v>
      </c>
      <c r="B96" s="36" t="s">
        <v>20</v>
      </c>
      <c r="C96" s="36">
        <v>101</v>
      </c>
      <c r="D96" s="36" t="s">
        <v>96</v>
      </c>
      <c r="E96" s="36">
        <v>10</v>
      </c>
      <c r="F96" s="37">
        <v>43746</v>
      </c>
      <c r="G96" s="36" t="str">
        <f>CONCATENATE(Table1[[#This Row],[Location Index]],Table1[[#This Row],[NAME]])</f>
        <v>101D-222 紺</v>
      </c>
    </row>
    <row r="97" spans="1:7" s="40" customFormat="1">
      <c r="A97" s="44">
        <v>97</v>
      </c>
      <c r="B97" s="36" t="s">
        <v>20</v>
      </c>
      <c r="C97" s="36">
        <v>303</v>
      </c>
      <c r="D97" s="36" t="s">
        <v>97</v>
      </c>
      <c r="E97" s="36">
        <v>6</v>
      </c>
      <c r="F97" s="37">
        <v>43626</v>
      </c>
      <c r="G97" s="36" t="str">
        <f>CONCATENATE(Table1[[#This Row],[Location Index]],Table1[[#This Row],[NAME]])</f>
        <v>303ユタカ　オレンジ</v>
      </c>
    </row>
    <row r="98" spans="1:7" s="40" customFormat="1">
      <c r="A98" s="44">
        <v>98</v>
      </c>
      <c r="B98" s="36" t="s">
        <v>20</v>
      </c>
      <c r="C98" s="36">
        <v>303</v>
      </c>
      <c r="D98" s="36" t="s">
        <v>97</v>
      </c>
      <c r="E98" s="36">
        <v>6</v>
      </c>
      <c r="F98" s="37">
        <v>43151</v>
      </c>
      <c r="G98" s="36" t="str">
        <f>CONCATENATE(Table1[[#This Row],[Location Index]],Table1[[#This Row],[NAME]])</f>
        <v>303ユタカ　オレンジ</v>
      </c>
    </row>
    <row r="99" spans="1:7" s="40" customFormat="1">
      <c r="A99" s="44">
        <v>99</v>
      </c>
      <c r="B99" s="36" t="s">
        <v>20</v>
      </c>
      <c r="C99" s="36">
        <v>301</v>
      </c>
      <c r="D99" s="36" t="s">
        <v>46</v>
      </c>
      <c r="E99" s="36">
        <v>8</v>
      </c>
      <c r="F99" s="37">
        <v>43634</v>
      </c>
      <c r="G99" s="36" t="str">
        <f>CONCATENATE(Table1[[#This Row],[Location Index]],Table1[[#This Row],[NAME]])</f>
        <v>301シャープ 洗浄剤　ラベル　オレンジ</v>
      </c>
    </row>
    <row r="100" spans="1:7" s="40" customFormat="1">
      <c r="A100" s="44">
        <v>100</v>
      </c>
      <c r="B100" s="36" t="s">
        <v>20</v>
      </c>
      <c r="C100" s="36">
        <v>302</v>
      </c>
      <c r="D100" s="36" t="s">
        <v>79</v>
      </c>
      <c r="E100" s="36">
        <v>8</v>
      </c>
      <c r="F100" s="37">
        <v>43756</v>
      </c>
      <c r="G100" s="36" t="str">
        <f>CONCATENATE(Table1[[#This Row],[Location Index]],Table1[[#This Row],[NAME]])</f>
        <v>302ニッカサンブリーチ　赤</v>
      </c>
    </row>
    <row r="101" spans="1:7" s="40" customFormat="1">
      <c r="A101" s="44">
        <v>101</v>
      </c>
      <c r="B101" s="36" t="s">
        <v>20</v>
      </c>
      <c r="C101" s="36">
        <v>203</v>
      </c>
      <c r="D101" s="36" t="s">
        <v>98</v>
      </c>
      <c r="E101" s="36">
        <v>6</v>
      </c>
      <c r="F101" s="37">
        <v>43720</v>
      </c>
      <c r="G101" s="36" t="str">
        <f>CONCATENATE(Table1[[#This Row],[Location Index]],Table1[[#This Row],[NAME]])</f>
        <v>203ユタカ500249 青</v>
      </c>
    </row>
    <row r="102" spans="1:7" s="40" customFormat="1">
      <c r="A102" s="44">
        <v>102</v>
      </c>
      <c r="B102" s="36" t="s">
        <v>20</v>
      </c>
      <c r="C102" s="36">
        <v>203</v>
      </c>
      <c r="D102" s="36" t="s">
        <v>99</v>
      </c>
      <c r="E102" s="36">
        <v>8</v>
      </c>
      <c r="F102" s="37">
        <v>43842</v>
      </c>
      <c r="G102" s="36" t="str">
        <f>CONCATENATE(Table1[[#This Row],[Location Index]],Table1[[#This Row],[NAME]])</f>
        <v>203エコマックスAN(15K) 青</v>
      </c>
    </row>
    <row r="103" spans="1:7" s="40" customFormat="1">
      <c r="A103" s="44">
        <v>103</v>
      </c>
      <c r="B103" s="36" t="s">
        <v>20</v>
      </c>
      <c r="C103" s="36">
        <v>203</v>
      </c>
      <c r="D103" s="36" t="s">
        <v>100</v>
      </c>
      <c r="E103" s="36">
        <v>7</v>
      </c>
      <c r="F103" s="37">
        <v>43818</v>
      </c>
      <c r="G103" s="36" t="str">
        <f>CONCATENATE(Table1[[#This Row],[Location Index]],Table1[[#This Row],[NAME]])</f>
        <v>203エビトーム　青</v>
      </c>
    </row>
    <row r="104" spans="1:7" s="40" customFormat="1">
      <c r="A104" s="44">
        <v>104</v>
      </c>
      <c r="B104" s="36" t="s">
        <v>20</v>
      </c>
      <c r="C104" s="36">
        <v>202</v>
      </c>
      <c r="D104" s="36" t="s">
        <v>101</v>
      </c>
      <c r="E104" s="36">
        <v>8</v>
      </c>
      <c r="F104" s="37">
        <v>43824</v>
      </c>
      <c r="G104" s="36" t="str">
        <f>CONCATENATE(Table1[[#This Row],[Location Index]],Table1[[#This Row],[NAME]])</f>
        <v>202ニューボン　S20W 青</v>
      </c>
    </row>
    <row r="105" spans="1:7" s="40" customFormat="1">
      <c r="A105" s="44">
        <v>105</v>
      </c>
      <c r="B105" s="36" t="s">
        <v>20</v>
      </c>
      <c r="C105" s="36">
        <v>202</v>
      </c>
      <c r="D105" s="36" t="s">
        <v>102</v>
      </c>
      <c r="E105" s="36">
        <v>8</v>
      </c>
      <c r="F105" s="37">
        <v>43571</v>
      </c>
      <c r="G105" s="36" t="str">
        <f>CONCATENATE(Table1[[#This Row],[Location Index]],Table1[[#This Row],[NAME]])</f>
        <v>202エストラル　水色</v>
      </c>
    </row>
    <row r="106" spans="1:7" s="40" customFormat="1">
      <c r="A106" s="44">
        <v>106</v>
      </c>
      <c r="B106" s="36" t="s">
        <v>20</v>
      </c>
      <c r="C106" s="36">
        <v>213</v>
      </c>
      <c r="D106" s="36" t="s">
        <v>103</v>
      </c>
      <c r="E106" s="36">
        <v>8</v>
      </c>
      <c r="F106" s="37">
        <v>43677</v>
      </c>
      <c r="G106" s="36" t="str">
        <f>CONCATENATE(Table1[[#This Row],[Location Index]],Table1[[#This Row],[NAME]])</f>
        <v>213エコスマイル LQ22 青</v>
      </c>
    </row>
    <row r="107" spans="1:7" s="40" customFormat="1">
      <c r="A107" s="44">
        <v>107</v>
      </c>
      <c r="B107" s="36" t="s">
        <v>20</v>
      </c>
      <c r="C107" s="36">
        <v>103</v>
      </c>
      <c r="D107" s="36" t="s">
        <v>104</v>
      </c>
      <c r="E107" s="36">
        <v>5</v>
      </c>
      <c r="F107" s="37">
        <v>43687</v>
      </c>
      <c r="G107" s="36" t="str">
        <f>CONCATENATE(Table1[[#This Row],[Location Index]],Table1[[#This Row],[NAME]])</f>
        <v>103ユタカ　黄緑</v>
      </c>
    </row>
    <row r="108" spans="1:7" s="40" customFormat="1">
      <c r="A108" s="44">
        <v>108</v>
      </c>
      <c r="B108" s="36" t="s">
        <v>20</v>
      </c>
      <c r="C108" s="36">
        <v>103</v>
      </c>
      <c r="D108" s="36" t="s">
        <v>105</v>
      </c>
      <c r="E108" s="36">
        <v>5</v>
      </c>
      <c r="F108" s="37">
        <v>43770</v>
      </c>
      <c r="G108" s="36" t="str">
        <f>CONCATENATE(Table1[[#This Row],[Location Index]],Table1[[#This Row],[NAME]])</f>
        <v>103D-2568 緑</v>
      </c>
    </row>
    <row r="109" spans="1:7" s="40" customFormat="1">
      <c r="A109" s="44">
        <v>109</v>
      </c>
      <c r="B109" s="36" t="s">
        <v>20</v>
      </c>
      <c r="C109" s="36">
        <v>103</v>
      </c>
      <c r="D109" s="36" t="s">
        <v>105</v>
      </c>
      <c r="E109" s="36">
        <v>5</v>
      </c>
      <c r="F109" s="37">
        <v>43837</v>
      </c>
      <c r="G109" s="36" t="str">
        <f>CONCATENATE(Table1[[#This Row],[Location Index]],Table1[[#This Row],[NAME]])</f>
        <v>103D-2568 緑</v>
      </c>
    </row>
    <row r="110" spans="1:7" s="40" customFormat="1">
      <c r="A110" s="44">
        <v>110</v>
      </c>
      <c r="B110" s="36" t="s">
        <v>20</v>
      </c>
      <c r="C110" s="36">
        <v>103</v>
      </c>
      <c r="D110" s="36" t="s">
        <v>90</v>
      </c>
      <c r="E110" s="36">
        <v>5</v>
      </c>
      <c r="F110" s="37">
        <v>43272</v>
      </c>
      <c r="G110" s="36" t="str">
        <f>CONCATENATE(Table1[[#This Row],[Location Index]],Table1[[#This Row],[NAME]])</f>
        <v>103D-638 緑</v>
      </c>
    </row>
    <row r="111" spans="1:7" s="40" customFormat="1">
      <c r="A111" s="44">
        <v>111</v>
      </c>
      <c r="B111" s="36" t="s">
        <v>20</v>
      </c>
      <c r="C111" s="36">
        <v>153</v>
      </c>
      <c r="D111" s="36" t="s">
        <v>106</v>
      </c>
      <c r="E111" s="36">
        <v>6</v>
      </c>
      <c r="F111" s="37">
        <v>43742</v>
      </c>
      <c r="G111" s="36" t="str">
        <f>CONCATENATE(Table1[[#This Row],[Location Index]],Table1[[#This Row],[NAME]])</f>
        <v>153D-2560 緑</v>
      </c>
    </row>
    <row r="112" spans="1:7" s="40" customFormat="1">
      <c r="A112" s="44">
        <v>112</v>
      </c>
      <c r="B112" s="36" t="s">
        <v>20</v>
      </c>
      <c r="C112" s="36">
        <v>153</v>
      </c>
      <c r="D112" s="36" t="s">
        <v>106</v>
      </c>
      <c r="E112" s="36">
        <v>4</v>
      </c>
      <c r="F112" s="37">
        <v>43616</v>
      </c>
      <c r="G112" s="36" t="str">
        <f>CONCATENATE(Table1[[#This Row],[Location Index]],Table1[[#This Row],[NAME]])</f>
        <v>153D-2560 緑</v>
      </c>
    </row>
    <row r="113" spans="1:7" s="40" customFormat="1">
      <c r="A113" s="44">
        <v>113</v>
      </c>
      <c r="B113" s="36" t="s">
        <v>20</v>
      </c>
      <c r="C113" s="36">
        <v>153</v>
      </c>
      <c r="D113" s="36" t="s">
        <v>106</v>
      </c>
      <c r="E113" s="36">
        <v>5</v>
      </c>
      <c r="F113" s="37">
        <v>43616</v>
      </c>
      <c r="G113" s="36" t="str">
        <f>CONCATENATE(Table1[[#This Row],[Location Index]],Table1[[#This Row],[NAME]])</f>
        <v>153D-2560 緑</v>
      </c>
    </row>
    <row r="114" spans="1:7" s="40" customFormat="1">
      <c r="A114" s="44">
        <v>114</v>
      </c>
      <c r="B114" s="36" t="s">
        <v>20</v>
      </c>
      <c r="C114" s="36">
        <v>153</v>
      </c>
      <c r="D114" s="36" t="s">
        <v>106</v>
      </c>
      <c r="E114" s="36">
        <v>2</v>
      </c>
      <c r="F114" s="37">
        <v>43293</v>
      </c>
      <c r="G114" s="36" t="str">
        <f>CONCATENATE(Table1[[#This Row],[Location Index]],Table1[[#This Row],[NAME]])</f>
        <v>153D-2560 緑</v>
      </c>
    </row>
    <row r="115" spans="1:7" s="40" customFormat="1">
      <c r="A115" s="44">
        <v>116</v>
      </c>
      <c r="B115" s="36" t="s">
        <v>20</v>
      </c>
      <c r="C115" s="36">
        <v>303</v>
      </c>
      <c r="D115" s="36" t="s">
        <v>107</v>
      </c>
      <c r="E115" s="36">
        <v>6</v>
      </c>
      <c r="F115" s="37">
        <v>43580</v>
      </c>
      <c r="G115" s="36" t="str">
        <f>CONCATENATE(Table1[[#This Row],[Location Index]],Table1[[#This Row],[NAME]])</f>
        <v>303ドライスター  黄</v>
      </c>
    </row>
    <row r="116" spans="1:7" s="40" customFormat="1">
      <c r="A116" s="44">
        <v>117</v>
      </c>
      <c r="B116" s="36" t="s">
        <v>20</v>
      </c>
      <c r="C116" s="36">
        <v>313</v>
      </c>
      <c r="D116" s="36" t="s">
        <v>108</v>
      </c>
      <c r="E116" s="36">
        <v>8</v>
      </c>
      <c r="F116" s="37">
        <v>43679</v>
      </c>
      <c r="G116" s="36" t="str">
        <f>CONCATENATE(Table1[[#This Row],[Location Index]],Table1[[#This Row],[NAME]])</f>
        <v>313ケアソフター17KG 黄</v>
      </c>
    </row>
    <row r="117" spans="1:7" s="40" customFormat="1">
      <c r="A117" s="44">
        <v>118</v>
      </c>
      <c r="B117" s="36" t="s">
        <v>20</v>
      </c>
      <c r="C117" s="36">
        <v>232</v>
      </c>
      <c r="D117" s="36" t="s">
        <v>109</v>
      </c>
      <c r="E117" s="36">
        <v>8</v>
      </c>
      <c r="F117" s="37">
        <v>43594</v>
      </c>
      <c r="G117" s="36" t="str">
        <f>CONCATENATE(Table1[[#This Row],[Location Index]],Table1[[#This Row],[NAME]])</f>
        <v>232STERISH A105(5L) 黄</v>
      </c>
    </row>
    <row r="118" spans="1:7" s="40" customFormat="1">
      <c r="A118" s="44">
        <v>119</v>
      </c>
      <c r="B118" s="36" t="s">
        <v>20</v>
      </c>
      <c r="C118" s="36">
        <v>323</v>
      </c>
      <c r="D118" s="36" t="s">
        <v>109</v>
      </c>
      <c r="E118" s="36">
        <v>8</v>
      </c>
      <c r="F118" s="37">
        <v>43858</v>
      </c>
      <c r="G118" s="36" t="str">
        <f>CONCATENATE(Table1[[#This Row],[Location Index]],Table1[[#This Row],[NAME]])</f>
        <v>323STERISH A105(5L) 黄</v>
      </c>
    </row>
    <row r="119" spans="1:7" s="40" customFormat="1">
      <c r="A119" s="44">
        <v>120</v>
      </c>
      <c r="B119" s="36" t="s">
        <v>20</v>
      </c>
      <c r="C119" s="36">
        <v>293</v>
      </c>
      <c r="D119" s="36" t="s">
        <v>110</v>
      </c>
      <c r="E119" s="36">
        <v>8</v>
      </c>
      <c r="F119" s="37">
        <v>43605</v>
      </c>
      <c r="G119" s="36" t="str">
        <f>CONCATENATE(Table1[[#This Row],[Location Index]],Table1[[#This Row],[NAME]])</f>
        <v>293トリノユサン表　黄</v>
      </c>
    </row>
    <row r="120" spans="1:7" s="40" customFormat="1">
      <c r="A120" s="44">
        <v>121</v>
      </c>
      <c r="B120" s="36" t="s">
        <v>20</v>
      </c>
      <c r="C120" s="36">
        <v>343</v>
      </c>
      <c r="D120" s="36" t="s">
        <v>111</v>
      </c>
      <c r="E120" s="36">
        <v>6</v>
      </c>
      <c r="F120" s="37">
        <v>42710</v>
      </c>
      <c r="G120" s="36" t="str">
        <f>CONCATENATE(Table1[[#This Row],[Location Index]],Table1[[#This Row],[NAME]])</f>
        <v>343D-164 黄土(コート)</v>
      </c>
    </row>
    <row r="121" spans="1:7" s="40" customFormat="1">
      <c r="A121" s="44">
        <v>122</v>
      </c>
      <c r="B121" s="36" t="s">
        <v>20</v>
      </c>
      <c r="C121" s="36">
        <v>343</v>
      </c>
      <c r="D121" s="36" t="s">
        <v>112</v>
      </c>
      <c r="E121" s="36">
        <v>8</v>
      </c>
      <c r="F121" s="37">
        <v>43699</v>
      </c>
      <c r="G121" s="36" t="str">
        <f>CONCATENATE(Table1[[#This Row],[Location Index]],Table1[[#This Row],[NAME]])</f>
        <v>343D-570 黄</v>
      </c>
    </row>
    <row r="122" spans="1:7" s="40" customFormat="1">
      <c r="A122" s="44">
        <v>123</v>
      </c>
      <c r="B122" s="36" t="s">
        <v>20</v>
      </c>
      <c r="C122" s="36">
        <v>283</v>
      </c>
      <c r="D122" s="36" t="s">
        <v>113</v>
      </c>
      <c r="E122" s="36">
        <v>8</v>
      </c>
      <c r="F122" s="37">
        <v>43732</v>
      </c>
      <c r="G122" s="36" t="str">
        <f>CONCATENATE(Table1[[#This Row],[Location Index]],Table1[[#This Row],[NAME]])</f>
        <v>283ルピランソープ　黄</v>
      </c>
    </row>
    <row r="123" spans="1:7" s="40" customFormat="1">
      <c r="A123" s="44">
        <v>124</v>
      </c>
      <c r="B123" s="36" t="s">
        <v>20</v>
      </c>
      <c r="C123" s="36">
        <v>333</v>
      </c>
      <c r="D123" s="36" t="s">
        <v>114</v>
      </c>
      <c r="E123" s="36">
        <v>8</v>
      </c>
      <c r="F123" s="37">
        <v>43742</v>
      </c>
      <c r="G123" s="36" t="str">
        <f>CONCATENATE(Table1[[#This Row],[Location Index]],Table1[[#This Row],[NAME]])</f>
        <v>333ルピランソーフター　黄</v>
      </c>
    </row>
    <row r="124" spans="1:7" s="40" customFormat="1">
      <c r="A124" s="44">
        <v>125</v>
      </c>
      <c r="B124" s="36" t="s">
        <v>20</v>
      </c>
      <c r="C124" s="36">
        <v>343</v>
      </c>
      <c r="D124" s="36" t="s">
        <v>115</v>
      </c>
      <c r="E124" s="36">
        <v>8</v>
      </c>
      <c r="F124" s="37">
        <v>43602</v>
      </c>
      <c r="G124" s="36" t="str">
        <f>CONCATENATE(Table1[[#This Row],[Location Index]],Table1[[#This Row],[NAME]])</f>
        <v>343テクノザイム401 黄</v>
      </c>
    </row>
    <row r="125" spans="1:7" s="40" customFormat="1">
      <c r="A125" s="44">
        <v>126</v>
      </c>
      <c r="B125" s="36" t="s">
        <v>20</v>
      </c>
      <c r="C125" s="36">
        <v>313</v>
      </c>
      <c r="D125" s="36" t="s">
        <v>220</v>
      </c>
      <c r="E125" s="36">
        <v>8</v>
      </c>
      <c r="F125" s="37">
        <v>43770</v>
      </c>
      <c r="G125" s="36" t="str">
        <f>CONCATENATE(Table1[[#This Row],[Location Index]],Table1[[#This Row],[NAME]])</f>
        <v>313パルトナソフター　黄土</v>
      </c>
    </row>
    <row r="126" spans="1:7" s="40" customFormat="1">
      <c r="A126" s="44">
        <v>127</v>
      </c>
      <c r="B126" s="36" t="s">
        <v>20</v>
      </c>
      <c r="C126" s="36">
        <v>313</v>
      </c>
      <c r="D126" s="36" t="s">
        <v>116</v>
      </c>
      <c r="E126" s="36">
        <v>8</v>
      </c>
      <c r="F126" s="37">
        <v>43712</v>
      </c>
      <c r="G126" s="36" t="str">
        <f>CONCATENATE(Table1[[#This Row],[Location Index]],Table1[[#This Row],[NAME]])</f>
        <v>313ユタカ　黄</v>
      </c>
    </row>
    <row r="127" spans="1:7" s="40" customFormat="1">
      <c r="A127" s="44">
        <v>128</v>
      </c>
      <c r="B127" s="36" t="s">
        <v>20</v>
      </c>
      <c r="C127" s="36">
        <v>333</v>
      </c>
      <c r="D127" s="36" t="s">
        <v>117</v>
      </c>
      <c r="E127" s="36">
        <v>8</v>
      </c>
      <c r="F127" s="37">
        <v>43756</v>
      </c>
      <c r="G127" s="36" t="str">
        <f>CONCATENATE(Table1[[#This Row],[Location Index]],Table1[[#This Row],[NAME]])</f>
        <v>333ニッカサンブリーチ　黄</v>
      </c>
    </row>
    <row r="128" spans="1:7" s="40" customFormat="1">
      <c r="A128" s="44">
        <v>129</v>
      </c>
      <c r="B128" s="36" t="s">
        <v>20</v>
      </c>
      <c r="C128" s="36">
        <v>333</v>
      </c>
      <c r="D128" s="36" t="s">
        <v>118</v>
      </c>
      <c r="E128" s="36">
        <v>8</v>
      </c>
      <c r="F128" s="37">
        <v>43759</v>
      </c>
      <c r="G128" s="36" t="str">
        <f>CONCATENATE(Table1[[#This Row],[Location Index]],Table1[[#This Row],[NAME]])</f>
        <v>333酸素系NA05 黄</v>
      </c>
    </row>
    <row r="129" spans="1:7" s="40" customFormat="1">
      <c r="A129" s="44">
        <v>130</v>
      </c>
      <c r="B129" s="36" t="s">
        <v>20</v>
      </c>
      <c r="C129" s="36">
        <v>373</v>
      </c>
      <c r="D129" s="36" t="s">
        <v>119</v>
      </c>
      <c r="E129" s="36">
        <v>8</v>
      </c>
      <c r="F129" s="37">
        <v>43742</v>
      </c>
      <c r="G129" s="36" t="str">
        <f>CONCATENATE(Table1[[#This Row],[Location Index]],Table1[[#This Row],[NAME]])</f>
        <v>373ルピランソフター　ピンク</v>
      </c>
    </row>
    <row r="130" spans="1:7" s="40" customFormat="1">
      <c r="A130" s="44">
        <v>131</v>
      </c>
      <c r="B130" s="36" t="s">
        <v>20</v>
      </c>
      <c r="C130" s="36">
        <v>283</v>
      </c>
      <c r="D130" s="36" t="s">
        <v>119</v>
      </c>
      <c r="E130" s="36">
        <v>8</v>
      </c>
      <c r="F130" s="37">
        <v>43742</v>
      </c>
      <c r="G130" s="36" t="str">
        <f>CONCATENATE(Table1[[#This Row],[Location Index]],Table1[[#This Row],[NAME]])</f>
        <v>283ルピランソフター　ピンク</v>
      </c>
    </row>
    <row r="131" spans="1:7" s="40" customFormat="1">
      <c r="A131" s="44">
        <v>132</v>
      </c>
      <c r="B131" s="36" t="s">
        <v>20</v>
      </c>
      <c r="C131" s="36">
        <v>373</v>
      </c>
      <c r="D131" s="36" t="s">
        <v>119</v>
      </c>
      <c r="E131" s="36">
        <v>8</v>
      </c>
      <c r="F131" s="37">
        <v>43571</v>
      </c>
      <c r="G131" s="36" t="str">
        <f>CONCATENATE(Table1[[#This Row],[Location Index]],Table1[[#This Row],[NAME]])</f>
        <v>373ルピランソフター　ピンク</v>
      </c>
    </row>
    <row r="132" spans="1:7" s="40" customFormat="1">
      <c r="A132" s="44">
        <v>133</v>
      </c>
      <c r="B132" s="36" t="s">
        <v>20</v>
      </c>
      <c r="C132" s="36">
        <v>383</v>
      </c>
      <c r="D132" s="36" t="s">
        <v>120</v>
      </c>
      <c r="E132" s="36">
        <v>6</v>
      </c>
      <c r="F132" s="37">
        <v>42667</v>
      </c>
      <c r="G132" s="36" t="str">
        <f>CONCATENATE(Table1[[#This Row],[Location Index]],Table1[[#This Row],[NAME]])</f>
        <v>383D-276 ピンク(コート）</v>
      </c>
    </row>
    <row r="133" spans="1:7" s="40" customFormat="1">
      <c r="A133" s="44">
        <v>134</v>
      </c>
      <c r="B133" s="36" t="s">
        <v>20</v>
      </c>
      <c r="C133" s="36">
        <v>383</v>
      </c>
      <c r="D133" s="36" t="s">
        <v>27</v>
      </c>
      <c r="E133" s="36">
        <v>8</v>
      </c>
      <c r="F133" s="37">
        <v>43746</v>
      </c>
      <c r="G133" s="36" t="str">
        <f>CONCATENATE(Table1[[#This Row],[Location Index]],Table1[[#This Row],[NAME]])</f>
        <v>383D-276 ピンク</v>
      </c>
    </row>
    <row r="134" spans="1:7" s="40" customFormat="1">
      <c r="A134" s="44">
        <v>135</v>
      </c>
      <c r="B134" s="36" t="s">
        <v>20</v>
      </c>
      <c r="C134" s="36"/>
      <c r="D134" s="36" t="s">
        <v>121</v>
      </c>
      <c r="E134" s="36"/>
      <c r="F134" s="36" t="s">
        <v>122</v>
      </c>
      <c r="G134" s="36" t="str">
        <f>CONCATENATE(Table1[[#This Row],[Location Index]],Table1[[#This Row],[NAME]])</f>
        <v>カイトコイン</v>
      </c>
    </row>
    <row r="135" spans="1:7" s="40" customFormat="1">
      <c r="A135" s="44">
        <v>136</v>
      </c>
      <c r="B135" s="36" t="s">
        <v>20</v>
      </c>
      <c r="C135" s="36"/>
      <c r="D135" s="36" t="s">
        <v>121</v>
      </c>
      <c r="E135" s="36"/>
      <c r="F135" s="36" t="s">
        <v>122</v>
      </c>
      <c r="G135" s="36" t="str">
        <f>CONCATENATE(Table1[[#This Row],[Location Index]],Table1[[#This Row],[NAME]])</f>
        <v>カイトコイン</v>
      </c>
    </row>
    <row r="136" spans="1:7" s="40" customFormat="1">
      <c r="A136" s="44">
        <v>137</v>
      </c>
      <c r="B136" s="36" t="s">
        <v>20</v>
      </c>
      <c r="C136" s="36">
        <v>3103</v>
      </c>
      <c r="D136" s="36" t="s">
        <v>77</v>
      </c>
      <c r="E136" s="36">
        <v>7</v>
      </c>
      <c r="F136" s="37">
        <v>43742</v>
      </c>
      <c r="G136" s="36" t="str">
        <f>CONCATENATE(Table1[[#This Row],[Location Index]],Table1[[#This Row],[NAME]])</f>
        <v>3103D-156 赤</v>
      </c>
    </row>
    <row r="137" spans="1:7" s="40" customFormat="1">
      <c r="A137" s="44">
        <v>138</v>
      </c>
      <c r="B137" s="36" t="s">
        <v>20</v>
      </c>
      <c r="C137" s="36">
        <v>3103</v>
      </c>
      <c r="D137" s="36" t="s">
        <v>77</v>
      </c>
      <c r="E137" s="36">
        <v>6</v>
      </c>
      <c r="F137" s="37">
        <v>43482</v>
      </c>
      <c r="G137" s="36" t="str">
        <f>CONCATENATE(Table1[[#This Row],[Location Index]],Table1[[#This Row],[NAME]])</f>
        <v>3103D-156 赤</v>
      </c>
    </row>
    <row r="138" spans="1:7" s="40" customFormat="1">
      <c r="A138" s="44">
        <v>140</v>
      </c>
      <c r="B138" s="36" t="s">
        <v>20</v>
      </c>
      <c r="C138" s="36">
        <v>212</v>
      </c>
      <c r="D138" s="36" t="s">
        <v>123</v>
      </c>
      <c r="E138" s="36">
        <v>8</v>
      </c>
      <c r="F138" s="37">
        <v>43573</v>
      </c>
      <c r="G138" s="36" t="str">
        <f>CONCATENATE(Table1[[#This Row],[Location Index]],Table1[[#This Row],[NAME]])</f>
        <v>212エストラル　青</v>
      </c>
    </row>
    <row r="139" spans="1:7" s="40" customFormat="1">
      <c r="A139" s="44">
        <v>141</v>
      </c>
      <c r="B139" s="36" t="s">
        <v>20</v>
      </c>
      <c r="C139" s="36">
        <v>212</v>
      </c>
      <c r="D139" s="36" t="s">
        <v>124</v>
      </c>
      <c r="E139" s="36">
        <v>8</v>
      </c>
      <c r="F139" s="37">
        <v>43677</v>
      </c>
      <c r="G139" s="36" t="str">
        <f>CONCATENATE(Table1[[#This Row],[Location Index]],Table1[[#This Row],[NAME]])</f>
        <v>212シーテックK 水色</v>
      </c>
    </row>
    <row r="140" spans="1:7" s="40" customFormat="1">
      <c r="A140" s="44">
        <v>142</v>
      </c>
      <c r="B140" s="36" t="s">
        <v>20</v>
      </c>
      <c r="C140" s="36">
        <v>212</v>
      </c>
      <c r="D140" s="36" t="s">
        <v>72</v>
      </c>
      <c r="E140" s="36">
        <v>8</v>
      </c>
      <c r="F140" s="37">
        <v>43679</v>
      </c>
      <c r="G140" s="36" t="str">
        <f>CONCATENATE(Table1[[#This Row],[Location Index]],Table1[[#This Row],[NAME]])</f>
        <v>212テクノクリアN5L 水色</v>
      </c>
    </row>
    <row r="141" spans="1:7" s="40" customFormat="1">
      <c r="A141" s="44">
        <v>143</v>
      </c>
      <c r="B141" s="36" t="s">
        <v>20</v>
      </c>
      <c r="C141" s="36">
        <v>222</v>
      </c>
      <c r="D141" s="36" t="s">
        <v>52</v>
      </c>
      <c r="E141" s="36">
        <v>8</v>
      </c>
      <c r="F141" s="37">
        <v>43616</v>
      </c>
      <c r="G141" s="36" t="str">
        <f>CONCATENATE(Table1[[#This Row],[Location Index]],Table1[[#This Row],[NAME]])</f>
        <v>222D-181 青</v>
      </c>
    </row>
    <row r="142" spans="1:7" s="40" customFormat="1">
      <c r="A142" s="44">
        <v>144</v>
      </c>
      <c r="B142" s="36" t="s">
        <v>20</v>
      </c>
      <c r="C142" s="36">
        <v>293</v>
      </c>
      <c r="D142" s="36" t="s">
        <v>125</v>
      </c>
      <c r="E142" s="36">
        <v>6</v>
      </c>
      <c r="F142" s="37">
        <v>43747</v>
      </c>
      <c r="G142" s="36" t="str">
        <f>CONCATENATE(Table1[[#This Row],[Location Index]],Table1[[#This Row],[NAME]])</f>
        <v>293トリノコサン　青</v>
      </c>
    </row>
    <row r="143" spans="1:7" s="40" customFormat="1">
      <c r="A143" s="44">
        <v>145</v>
      </c>
      <c r="B143" s="36" t="s">
        <v>20</v>
      </c>
      <c r="C143" s="36">
        <v>232</v>
      </c>
      <c r="D143" s="36" t="s">
        <v>126</v>
      </c>
      <c r="E143" s="36">
        <v>8</v>
      </c>
      <c r="F143" s="37">
        <v>43756</v>
      </c>
      <c r="G143" s="36" t="str">
        <f>CONCATENATE(Table1[[#This Row],[Location Index]],Table1[[#This Row],[NAME]])</f>
        <v>232ニッカサンブリーチ　青</v>
      </c>
    </row>
    <row r="144" spans="1:7" s="40" customFormat="1">
      <c r="A144" s="44">
        <v>146</v>
      </c>
      <c r="B144" s="36" t="s">
        <v>20</v>
      </c>
      <c r="C144" s="36">
        <v>232</v>
      </c>
      <c r="D144" s="36" t="s">
        <v>127</v>
      </c>
      <c r="E144" s="36">
        <v>8</v>
      </c>
      <c r="F144" s="37">
        <v>43612</v>
      </c>
      <c r="G144" s="36" t="str">
        <f>CONCATENATE(Table1[[#This Row],[Location Index]],Table1[[#This Row],[NAME]])</f>
        <v>232STERISH N104(4L）　水色</v>
      </c>
    </row>
    <row r="145" spans="1:7" s="40" customFormat="1">
      <c r="A145" s="44">
        <v>147</v>
      </c>
      <c r="B145" s="36" t="s">
        <v>20</v>
      </c>
      <c r="C145" s="36">
        <v>323</v>
      </c>
      <c r="D145" s="36" t="s">
        <v>128</v>
      </c>
      <c r="E145" s="36">
        <v>6</v>
      </c>
      <c r="F145" s="37">
        <v>43594</v>
      </c>
      <c r="G145" s="36" t="str">
        <f>CONCATENATE(Table1[[#This Row],[Location Index]],Table1[[#This Row],[NAME]])</f>
        <v>323STERISH N105(5L) 青</v>
      </c>
    </row>
    <row r="146" spans="1:7" s="40" customFormat="1">
      <c r="A146" s="44">
        <v>148</v>
      </c>
      <c r="B146" s="36" t="s">
        <v>20</v>
      </c>
      <c r="C146" s="36">
        <v>252</v>
      </c>
      <c r="D146" s="36" t="s">
        <v>129</v>
      </c>
      <c r="E146" s="36" t="s">
        <v>43</v>
      </c>
      <c r="F146" s="37">
        <v>43573</v>
      </c>
      <c r="G146" s="36" t="str">
        <f>CONCATENATE(Table1[[#This Row],[Location Index]],Table1[[#This Row],[NAME]])</f>
        <v>252アトムベッド　青</v>
      </c>
    </row>
    <row r="147" spans="1:7" s="40" customFormat="1">
      <c r="A147" s="44">
        <v>149</v>
      </c>
      <c r="B147" s="36" t="s">
        <v>20</v>
      </c>
      <c r="C147" s="36">
        <v>242</v>
      </c>
      <c r="D147" s="36" t="s">
        <v>130</v>
      </c>
      <c r="E147" s="36">
        <v>4</v>
      </c>
      <c r="F147" s="37">
        <v>43151</v>
      </c>
      <c r="G147" s="36" t="str">
        <f>CONCATENATE(Table1[[#This Row],[Location Index]],Table1[[#This Row],[NAME]])</f>
        <v>242ユタカ　水色</v>
      </c>
    </row>
    <row r="148" spans="1:7" s="40" customFormat="1">
      <c r="A148" s="44">
        <v>150</v>
      </c>
      <c r="B148" s="36" t="s">
        <v>20</v>
      </c>
      <c r="C148" s="36">
        <v>242</v>
      </c>
      <c r="D148" s="36" t="s">
        <v>131</v>
      </c>
      <c r="E148" s="36">
        <v>6</v>
      </c>
      <c r="F148" s="37">
        <v>43590</v>
      </c>
      <c r="G148" s="36" t="str">
        <f>CONCATENATE(Table1[[#This Row],[Location Index]],Table1[[#This Row],[NAME]])</f>
        <v>242メディカール NX20 青</v>
      </c>
    </row>
    <row r="149" spans="1:7" s="40" customFormat="1">
      <c r="A149" s="44">
        <v>151</v>
      </c>
      <c r="B149" s="36" t="s">
        <v>20</v>
      </c>
      <c r="C149" s="36">
        <v>252</v>
      </c>
      <c r="D149" s="36" t="s">
        <v>132</v>
      </c>
      <c r="E149" s="36">
        <v>4</v>
      </c>
      <c r="F149" s="37">
        <v>43621</v>
      </c>
      <c r="G149" s="36" t="str">
        <f>CONCATENATE(Table1[[#This Row],[Location Index]],Table1[[#This Row],[NAME]])</f>
        <v>252ソーピーセブン　紺</v>
      </c>
    </row>
    <row r="150" spans="1:7" s="40" customFormat="1">
      <c r="A150" s="44">
        <v>152</v>
      </c>
      <c r="B150" s="36" t="s">
        <v>20</v>
      </c>
      <c r="C150" s="36">
        <v>252</v>
      </c>
      <c r="D150" s="36" t="s">
        <v>133</v>
      </c>
      <c r="E150" s="36">
        <v>6</v>
      </c>
      <c r="F150" s="37">
        <v>43707</v>
      </c>
      <c r="G150" s="36" t="str">
        <f>CONCATENATE(Table1[[#This Row],[Location Index]],Table1[[#This Row],[NAME]])</f>
        <v>252シプロ化成　紺藍</v>
      </c>
    </row>
    <row r="151" spans="1:7" s="40" customFormat="1">
      <c r="A151" s="44">
        <v>153</v>
      </c>
      <c r="B151" s="36" t="s">
        <v>20</v>
      </c>
      <c r="C151" s="36">
        <v>262</v>
      </c>
      <c r="D151" s="36" t="s">
        <v>134</v>
      </c>
      <c r="E151" s="36">
        <v>3</v>
      </c>
      <c r="F151" s="37">
        <v>43746</v>
      </c>
      <c r="G151" s="36" t="str">
        <f>CONCATENATE(Table1[[#This Row],[Location Index]],Table1[[#This Row],[NAME]])</f>
        <v>262ニッカサンブリーチ　紺</v>
      </c>
    </row>
    <row r="152" spans="1:7" s="40" customFormat="1">
      <c r="A152" s="44">
        <v>154</v>
      </c>
      <c r="B152" s="36" t="s">
        <v>20</v>
      </c>
      <c r="C152" s="36">
        <v>262</v>
      </c>
      <c r="D152" s="36" t="s">
        <v>135</v>
      </c>
      <c r="E152" s="36">
        <v>4</v>
      </c>
      <c r="F152" s="37">
        <v>43805</v>
      </c>
      <c r="G152" s="36" t="str">
        <f>CONCATENATE(Table1[[#This Row],[Location Index]],Table1[[#This Row],[NAME]])</f>
        <v>262スペクトロ　紺</v>
      </c>
    </row>
    <row r="153" spans="1:7" s="40" customFormat="1">
      <c r="A153" s="44">
        <v>155</v>
      </c>
      <c r="B153" s="36" t="s">
        <v>20</v>
      </c>
      <c r="C153" s="36">
        <v>262</v>
      </c>
      <c r="D153" s="36" t="s">
        <v>96</v>
      </c>
      <c r="E153" s="36">
        <v>4</v>
      </c>
      <c r="F153" s="37">
        <v>43699</v>
      </c>
      <c r="G153" s="36" t="str">
        <f>CONCATENATE(Table1[[#This Row],[Location Index]],Table1[[#This Row],[NAME]])</f>
        <v>262D-222 紺</v>
      </c>
    </row>
    <row r="154" spans="1:7" s="40" customFormat="1">
      <c r="A154" s="44">
        <v>156</v>
      </c>
      <c r="B154" s="36" t="s">
        <v>20</v>
      </c>
      <c r="C154" s="36">
        <v>272</v>
      </c>
      <c r="D154" s="36" t="s">
        <v>417</v>
      </c>
      <c r="E154" s="36">
        <v>9</v>
      </c>
      <c r="F154" s="37">
        <v>42769</v>
      </c>
      <c r="G154" s="36" t="str">
        <f>CONCATENATE(Table1[[#This Row],[Location Index]],Table1[[#This Row],[NAME]])</f>
        <v>272UVカット　紺　500238</v>
      </c>
    </row>
    <row r="155" spans="1:7" s="40" customFormat="1">
      <c r="A155" s="44">
        <v>157</v>
      </c>
      <c r="B155" s="36" t="s">
        <v>20</v>
      </c>
      <c r="C155" s="36">
        <v>272</v>
      </c>
      <c r="D155" s="36" t="s">
        <v>136</v>
      </c>
      <c r="E155" s="36">
        <v>8</v>
      </c>
      <c r="F155" s="37">
        <v>43697</v>
      </c>
      <c r="G155" s="36" t="str">
        <f>CONCATENATE(Table1[[#This Row],[Location Index]],Table1[[#This Row],[NAME]])</f>
        <v>272UVカット　紺　500238</v>
      </c>
    </row>
    <row r="156" spans="1:7" s="40" customFormat="1">
      <c r="A156" s="44">
        <v>158</v>
      </c>
      <c r="B156" s="36" t="s">
        <v>20</v>
      </c>
      <c r="C156" s="36">
        <v>272</v>
      </c>
      <c r="D156" s="36" t="s">
        <v>137</v>
      </c>
      <c r="E156" s="36">
        <v>7</v>
      </c>
      <c r="F156" s="37">
        <v>43742</v>
      </c>
      <c r="G156" s="36" t="str">
        <f>CONCATENATE(Table1[[#This Row],[Location Index]],Table1[[#This Row],[NAME]])</f>
        <v>272VF365 紺</v>
      </c>
    </row>
    <row r="157" spans="1:7" s="40" customFormat="1">
      <c r="A157" s="44">
        <v>159</v>
      </c>
      <c r="B157" s="36" t="s">
        <v>20</v>
      </c>
      <c r="C157" s="36">
        <v>282</v>
      </c>
      <c r="D157" s="36" t="s">
        <v>138</v>
      </c>
      <c r="E157" s="36">
        <v>2</v>
      </c>
      <c r="F157" s="37">
        <v>43101</v>
      </c>
      <c r="G157" s="36" t="str">
        <f>CONCATENATE(Table1[[#This Row],[Location Index]],Table1[[#This Row],[NAME]])</f>
        <v>282D-99 青</v>
      </c>
    </row>
    <row r="158" spans="1:7" s="40" customFormat="1">
      <c r="A158" s="44">
        <v>160</v>
      </c>
      <c r="B158" s="36" t="s">
        <v>20</v>
      </c>
      <c r="C158" s="36">
        <v>282</v>
      </c>
      <c r="D158" s="36" t="s">
        <v>122</v>
      </c>
      <c r="E158" s="36"/>
      <c r="F158" s="36" t="s">
        <v>122</v>
      </c>
      <c r="G158" s="36" t="str">
        <f>CONCATENATE(Table1[[#This Row],[Location Index]],Table1[[#This Row],[NAME]])</f>
        <v>282NA</v>
      </c>
    </row>
    <row r="159" spans="1:7" s="40" customFormat="1">
      <c r="A159" s="44">
        <v>161</v>
      </c>
      <c r="B159" s="36" t="s">
        <v>20</v>
      </c>
      <c r="C159" s="36">
        <v>292</v>
      </c>
      <c r="D159" s="36" t="s">
        <v>139</v>
      </c>
      <c r="E159" s="36">
        <v>6</v>
      </c>
      <c r="F159" s="37">
        <v>43805</v>
      </c>
      <c r="G159" s="36" t="str">
        <f>CONCATENATE(Table1[[#This Row],[Location Index]],Table1[[#This Row],[NAME]])</f>
        <v>292エクシート様　グレー</v>
      </c>
    </row>
    <row r="160" spans="1:7" s="40" customFormat="1">
      <c r="A160" s="44">
        <v>162</v>
      </c>
      <c r="B160" s="36" t="s">
        <v>20</v>
      </c>
      <c r="C160" s="36">
        <v>292</v>
      </c>
      <c r="D160" s="36" t="s">
        <v>140</v>
      </c>
      <c r="E160" s="36">
        <v>6</v>
      </c>
      <c r="F160" s="37">
        <v>43503</v>
      </c>
      <c r="G160" s="36" t="str">
        <f>CONCATENATE(Table1[[#This Row],[Location Index]],Table1[[#This Row],[NAME]])</f>
        <v>292D-185 紺(コート）</v>
      </c>
    </row>
    <row r="161" spans="1:7" s="40" customFormat="1">
      <c r="A161" s="44">
        <v>163</v>
      </c>
      <c r="B161" s="36" t="s">
        <v>20</v>
      </c>
      <c r="C161" s="36">
        <v>2102</v>
      </c>
      <c r="D161" s="36" t="s">
        <v>141</v>
      </c>
      <c r="E161" s="36">
        <v>9</v>
      </c>
      <c r="F161" s="37">
        <v>43534</v>
      </c>
      <c r="G161" s="36" t="str">
        <f>CONCATENATE(Table1[[#This Row],[Location Index]],Table1[[#This Row],[NAME]])</f>
        <v>2102カイトコイン　黄</v>
      </c>
    </row>
    <row r="162" spans="1:7" s="40" customFormat="1">
      <c r="A162" s="44">
        <v>164</v>
      </c>
      <c r="B162" s="36" t="s">
        <v>20</v>
      </c>
      <c r="C162" s="36">
        <v>2102</v>
      </c>
      <c r="D162" s="36" t="s">
        <v>142</v>
      </c>
      <c r="E162" s="36">
        <v>9</v>
      </c>
      <c r="F162" s="37">
        <v>43534</v>
      </c>
      <c r="G162" s="36" t="str">
        <f>CONCATENATE(Table1[[#This Row],[Location Index]],Table1[[#This Row],[NAME]])</f>
        <v>2102カイトコイン　青</v>
      </c>
    </row>
    <row r="163" spans="1:7" s="40" customFormat="1">
      <c r="A163" s="44">
        <v>166</v>
      </c>
      <c r="B163" s="36" t="s">
        <v>20</v>
      </c>
      <c r="C163" s="36">
        <v>113</v>
      </c>
      <c r="D163" s="36" t="s">
        <v>143</v>
      </c>
      <c r="E163" s="36">
        <v>8</v>
      </c>
      <c r="F163" s="37">
        <v>43629</v>
      </c>
      <c r="G163" s="36" t="str">
        <f>CONCATENATE(Table1[[#This Row],[Location Index]],Table1[[#This Row],[NAME]])</f>
        <v>113ユタカ500230 緑</v>
      </c>
    </row>
    <row r="164" spans="1:7" s="40" customFormat="1">
      <c r="A164" s="44">
        <v>167</v>
      </c>
      <c r="B164" s="36" t="s">
        <v>20</v>
      </c>
      <c r="C164" s="36">
        <v>113</v>
      </c>
      <c r="D164" s="36" t="s">
        <v>144</v>
      </c>
      <c r="E164" s="36">
        <v>8</v>
      </c>
      <c r="F164" s="37">
        <v>43628</v>
      </c>
      <c r="G164" s="36" t="str">
        <f>CONCATENATE(Table1[[#This Row],[Location Index]],Table1[[#This Row],[NAME]])</f>
        <v>113ユタカ500228 緑</v>
      </c>
    </row>
    <row r="165" spans="1:7" s="40" customFormat="1">
      <c r="A165" s="44">
        <v>168</v>
      </c>
      <c r="B165" s="36" t="s">
        <v>20</v>
      </c>
      <c r="C165" s="36">
        <v>113</v>
      </c>
      <c r="D165" s="36" t="s">
        <v>210</v>
      </c>
      <c r="E165" s="36">
        <v>8</v>
      </c>
      <c r="F165" s="37">
        <v>43861</v>
      </c>
      <c r="G165" s="36" t="str">
        <f>CONCATENATE(Table1[[#This Row],[Location Index]],Table1[[#This Row],[NAME]])</f>
        <v>113ユタカ花粉ホコリ　緑</v>
      </c>
    </row>
    <row r="166" spans="1:7" s="40" customFormat="1">
      <c r="A166" s="44">
        <v>169</v>
      </c>
      <c r="B166" s="36" t="s">
        <v>20</v>
      </c>
      <c r="C166" s="36">
        <v>173</v>
      </c>
      <c r="D166" s="36" t="s">
        <v>146</v>
      </c>
      <c r="E166" s="36">
        <v>8</v>
      </c>
      <c r="F166" s="37">
        <v>43719</v>
      </c>
      <c r="G166" s="36" t="str">
        <f>CONCATENATE(Table1[[#This Row],[Location Index]],Table1[[#This Row],[NAME]])</f>
        <v>173日華　グリン</v>
      </c>
    </row>
    <row r="167" spans="1:7" s="40" customFormat="1">
      <c r="A167" s="44">
        <v>170</v>
      </c>
      <c r="B167" s="36" t="s">
        <v>20</v>
      </c>
      <c r="C167" s="36">
        <v>123</v>
      </c>
      <c r="D167" s="36" t="s">
        <v>147</v>
      </c>
      <c r="E167" s="36">
        <v>8</v>
      </c>
      <c r="F167" s="37">
        <v>43578</v>
      </c>
      <c r="G167" s="36" t="str">
        <f>CONCATENATE(Table1[[#This Row],[Location Index]],Table1[[#This Row],[NAME]])</f>
        <v>123MUN760S 緑</v>
      </c>
    </row>
    <row r="168" spans="1:7" s="40" customFormat="1">
      <c r="A168" s="44">
        <v>171</v>
      </c>
      <c r="B168" s="36" t="s">
        <v>20</v>
      </c>
      <c r="C168" s="36">
        <v>123</v>
      </c>
      <c r="D168" s="36" t="s">
        <v>186</v>
      </c>
      <c r="E168" s="36">
        <v>6</v>
      </c>
      <c r="F168" s="37">
        <v>43697</v>
      </c>
      <c r="G168" s="36" t="str">
        <f>CONCATENATE(Table1[[#This Row],[Location Index]],Table1[[#This Row],[NAME]])</f>
        <v>123UVカット　緑　500238</v>
      </c>
    </row>
    <row r="169" spans="1:7" s="40" customFormat="1">
      <c r="A169" s="44">
        <v>172</v>
      </c>
      <c r="B169" s="36" t="s">
        <v>20</v>
      </c>
      <c r="C169" s="36">
        <v>123</v>
      </c>
      <c r="D169" s="36" t="s">
        <v>186</v>
      </c>
      <c r="E169" s="36">
        <v>6</v>
      </c>
      <c r="F169" s="37">
        <v>43669</v>
      </c>
      <c r="G169" s="36" t="str">
        <f>CONCATENATE(Table1[[#This Row],[Location Index]],Table1[[#This Row],[NAME]])</f>
        <v>123UVカット　緑　500238</v>
      </c>
    </row>
    <row r="170" spans="1:7" s="40" customFormat="1">
      <c r="A170" s="44">
        <v>173</v>
      </c>
      <c r="B170" s="36" t="s">
        <v>20</v>
      </c>
      <c r="C170" s="36">
        <v>113</v>
      </c>
      <c r="D170" s="36" t="s">
        <v>146</v>
      </c>
      <c r="E170" s="36">
        <v>8</v>
      </c>
      <c r="F170" s="37">
        <v>43774</v>
      </c>
      <c r="G170" s="36" t="str">
        <f>CONCATENATE(Table1[[#This Row],[Location Index]],Table1[[#This Row],[NAME]])</f>
        <v>113日華　グリン</v>
      </c>
    </row>
    <row r="171" spans="1:7" s="40" customFormat="1">
      <c r="A171" s="44">
        <v>174</v>
      </c>
      <c r="B171" s="36" t="s">
        <v>20</v>
      </c>
      <c r="C171" s="36">
        <v>143</v>
      </c>
      <c r="D171" s="36" t="s">
        <v>148</v>
      </c>
      <c r="E171" s="36">
        <v>8</v>
      </c>
      <c r="F171" s="37">
        <v>43886</v>
      </c>
      <c r="G171" s="36" t="str">
        <f>CONCATENATE(Table1[[#This Row],[Location Index]],Table1[[#This Row],[NAME]])</f>
        <v>143中性酵素SDNUーN4 緑</v>
      </c>
    </row>
    <row r="172" spans="1:7" s="40" customFormat="1">
      <c r="A172" s="44">
        <v>175</v>
      </c>
      <c r="B172" s="36" t="s">
        <v>20</v>
      </c>
      <c r="C172" s="36">
        <v>133</v>
      </c>
      <c r="D172" s="36" t="s">
        <v>149</v>
      </c>
      <c r="E172" s="36">
        <v>8</v>
      </c>
      <c r="F172" s="37">
        <v>43637</v>
      </c>
      <c r="G172" s="36" t="str">
        <f>CONCATENATE(Table1[[#This Row],[Location Index]],Table1[[#This Row],[NAME]])</f>
        <v>133ワイドスキップS 緑</v>
      </c>
    </row>
    <row r="173" spans="1:7" s="40" customFormat="1">
      <c r="A173" s="44">
        <v>176</v>
      </c>
      <c r="B173" s="36" t="s">
        <v>20</v>
      </c>
      <c r="C173" s="36">
        <v>133</v>
      </c>
      <c r="D173" s="36" t="s">
        <v>150</v>
      </c>
      <c r="E173" s="36">
        <v>5</v>
      </c>
      <c r="F173" s="37">
        <v>43573</v>
      </c>
      <c r="G173" s="36" t="str">
        <f>CONCATENATE(Table1[[#This Row],[Location Index]],Table1[[#This Row],[NAME]])</f>
        <v>133リポブライト　緑</v>
      </c>
    </row>
    <row r="174" spans="1:7" s="40" customFormat="1">
      <c r="A174" s="44">
        <v>177</v>
      </c>
      <c r="B174" s="36" t="s">
        <v>20</v>
      </c>
      <c r="C174" s="36">
        <v>133</v>
      </c>
      <c r="D174" s="36" t="s">
        <v>151</v>
      </c>
      <c r="E174" s="36">
        <v>8</v>
      </c>
      <c r="F174" s="37">
        <v>43668</v>
      </c>
      <c r="G174" s="36" t="str">
        <f>CONCATENATE(Table1[[#This Row],[Location Index]],Table1[[#This Row],[NAME]])</f>
        <v>133エコティスパウダー　緑</v>
      </c>
    </row>
    <row r="175" spans="1:7" s="40" customFormat="1">
      <c r="A175" s="44">
        <v>178</v>
      </c>
      <c r="B175" s="36" t="s">
        <v>20</v>
      </c>
      <c r="C175" s="36">
        <v>133</v>
      </c>
      <c r="D175" s="36" t="s">
        <v>152</v>
      </c>
      <c r="E175" s="36">
        <v>6</v>
      </c>
      <c r="F175" s="37">
        <v>43605</v>
      </c>
      <c r="G175" s="36" t="str">
        <f>CONCATENATE(Table1[[#This Row],[Location Index]],Table1[[#This Row],[NAME]])</f>
        <v>133エストラフGT33 緑</v>
      </c>
    </row>
    <row r="176" spans="1:7" s="40" customFormat="1">
      <c r="A176" s="44">
        <v>179</v>
      </c>
      <c r="B176" s="36" t="s">
        <v>20</v>
      </c>
      <c r="C176" s="36">
        <v>143</v>
      </c>
      <c r="D176" s="36" t="s">
        <v>153</v>
      </c>
      <c r="E176" s="36">
        <v>5</v>
      </c>
      <c r="F176" s="37">
        <v>43825</v>
      </c>
      <c r="G176" s="36" t="str">
        <f>CONCATENATE(Table1[[#This Row],[Location Index]],Table1[[#This Row],[NAME]])</f>
        <v>143テクノソフターN 緑</v>
      </c>
    </row>
    <row r="177" spans="1:7" s="40" customFormat="1">
      <c r="A177" s="44">
        <v>180</v>
      </c>
      <c r="B177" s="36" t="s">
        <v>20</v>
      </c>
      <c r="C177" s="36">
        <v>143</v>
      </c>
      <c r="D177" s="36" t="s">
        <v>154</v>
      </c>
      <c r="E177" s="36">
        <v>8</v>
      </c>
      <c r="F177" s="37">
        <v>43796</v>
      </c>
      <c r="G177" s="36" t="str">
        <f>CONCATENATE(Table1[[#This Row],[Location Index]],Table1[[#This Row],[NAME]])</f>
        <v>143P-369 C 緑</v>
      </c>
    </row>
    <row r="178" spans="1:7" s="40" customFormat="1">
      <c r="A178" s="44">
        <v>181</v>
      </c>
      <c r="B178" s="36" t="s">
        <v>20</v>
      </c>
      <c r="C178" s="36">
        <v>123</v>
      </c>
      <c r="D178" s="36" t="s">
        <v>155</v>
      </c>
      <c r="E178" s="36">
        <v>8</v>
      </c>
      <c r="F178" s="37">
        <v>43850</v>
      </c>
      <c r="G178" s="36" t="str">
        <f>CONCATENATE(Table1[[#This Row],[Location Index]],Table1[[#This Row],[NAME]])</f>
        <v>123エコスマイル SJ(10K) 緑</v>
      </c>
    </row>
    <row r="179" spans="1:7" s="40" customFormat="1">
      <c r="A179" s="44">
        <v>182</v>
      </c>
      <c r="B179" s="36" t="s">
        <v>20</v>
      </c>
      <c r="C179" s="36">
        <v>183</v>
      </c>
      <c r="D179" s="36" t="s">
        <v>156</v>
      </c>
      <c r="E179" s="36">
        <v>8</v>
      </c>
      <c r="F179" s="37">
        <v>43668</v>
      </c>
      <c r="G179" s="36" t="str">
        <f>CONCATENATE(Table1[[#This Row],[Location Index]],Table1[[#This Row],[NAME]])</f>
        <v>183エコティスパウダー 黄緑</v>
      </c>
    </row>
    <row r="180" spans="1:7" s="40" customFormat="1">
      <c r="A180" s="44">
        <v>183</v>
      </c>
      <c r="B180" s="36" t="s">
        <v>20</v>
      </c>
      <c r="C180" s="36">
        <v>163</v>
      </c>
      <c r="D180" s="36" t="s">
        <v>157</v>
      </c>
      <c r="E180" s="36">
        <v>6</v>
      </c>
      <c r="F180" s="37">
        <v>43577</v>
      </c>
      <c r="G180" s="36" t="str">
        <f>CONCATENATE(Table1[[#This Row],[Location Index]],Table1[[#This Row],[NAME]])</f>
        <v>163カイトコイン　緑</v>
      </c>
    </row>
    <row r="181" spans="1:7" s="40" customFormat="1">
      <c r="A181" s="44">
        <v>184</v>
      </c>
      <c r="B181" s="36" t="s">
        <v>20</v>
      </c>
      <c r="C181" s="36">
        <v>163</v>
      </c>
      <c r="D181" s="36" t="s">
        <v>158</v>
      </c>
      <c r="E181" s="36">
        <v>6</v>
      </c>
      <c r="F181" s="37">
        <v>43805</v>
      </c>
      <c r="G181" s="36" t="str">
        <f>CONCATENATE(Table1[[#This Row],[Location Index]],Table1[[#This Row],[NAME]])</f>
        <v>163ネオアージュ　緑</v>
      </c>
    </row>
    <row r="182" spans="1:7" s="40" customFormat="1">
      <c r="A182" s="44">
        <v>185</v>
      </c>
      <c r="B182" s="36" t="s">
        <v>20</v>
      </c>
      <c r="C182" s="36">
        <v>143</v>
      </c>
      <c r="D182" s="36" t="s">
        <v>159</v>
      </c>
      <c r="E182" s="36">
        <v>5</v>
      </c>
      <c r="F182" s="37">
        <v>43732</v>
      </c>
      <c r="G182" s="36" t="str">
        <f>CONCATENATE(Table1[[#This Row],[Location Index]],Table1[[#This Row],[NAME]])</f>
        <v>143ルピランソープ 緑</v>
      </c>
    </row>
    <row r="183" spans="1:7" s="40" customFormat="1">
      <c r="A183" s="44">
        <v>186</v>
      </c>
      <c r="B183" s="36" t="s">
        <v>48</v>
      </c>
      <c r="C183" s="36">
        <v>173</v>
      </c>
      <c r="D183" s="36" t="s">
        <v>160</v>
      </c>
      <c r="E183" s="36">
        <v>6</v>
      </c>
      <c r="F183" s="37">
        <v>42740</v>
      </c>
      <c r="G183" s="36" t="str">
        <f>CONCATENATE(Table1[[#This Row],[Location Index]],Table1[[#This Row],[NAME]])</f>
        <v>173耐減感11 濃緑</v>
      </c>
    </row>
    <row r="184" spans="1:7" s="40" customFormat="1">
      <c r="A184" s="44">
        <v>187</v>
      </c>
      <c r="B184" s="36" t="s">
        <v>48</v>
      </c>
      <c r="C184" s="36">
        <v>173</v>
      </c>
      <c r="D184" s="36" t="s">
        <v>160</v>
      </c>
      <c r="E184" s="36">
        <v>1</v>
      </c>
      <c r="F184" s="37">
        <v>42465</v>
      </c>
      <c r="G184" s="36" t="str">
        <f>CONCATENATE(Table1[[#This Row],[Location Index]],Table1[[#This Row],[NAME]])</f>
        <v>173耐減感11 濃緑</v>
      </c>
    </row>
    <row r="185" spans="1:7" s="40" customFormat="1">
      <c r="A185" s="44">
        <v>188</v>
      </c>
      <c r="B185" s="36" t="s">
        <v>20</v>
      </c>
      <c r="C185" s="36">
        <v>163</v>
      </c>
      <c r="D185" s="36" t="s">
        <v>161</v>
      </c>
      <c r="E185" s="36">
        <v>7</v>
      </c>
      <c r="F185" s="37">
        <v>43732</v>
      </c>
      <c r="G185" s="36" t="str">
        <f>CONCATENATE(Table1[[#This Row],[Location Index]],Table1[[#This Row],[NAME]])</f>
        <v>163エルモアEL88 緑</v>
      </c>
    </row>
    <row r="186" spans="1:7" s="40" customFormat="1">
      <c r="A186" s="44">
        <v>189</v>
      </c>
      <c r="B186" s="36" t="s">
        <v>20</v>
      </c>
      <c r="C186" s="36">
        <v>183</v>
      </c>
      <c r="D186" s="36" t="s">
        <v>162</v>
      </c>
      <c r="E186" s="36">
        <v>8</v>
      </c>
      <c r="F186" s="37">
        <v>44173</v>
      </c>
      <c r="G186" s="36" t="str">
        <f>CONCATENATE(Table1[[#This Row],[Location Index]],Table1[[#This Row],[NAME]])</f>
        <v>183安田蒲鉾　黄緑</v>
      </c>
    </row>
    <row r="187" spans="1:7" s="40" customFormat="1">
      <c r="A187" s="44">
        <v>190</v>
      </c>
      <c r="B187" s="36" t="s">
        <v>20</v>
      </c>
      <c r="C187" s="36">
        <v>193</v>
      </c>
      <c r="D187" s="36" t="s">
        <v>163</v>
      </c>
      <c r="E187" s="36">
        <v>6</v>
      </c>
      <c r="F187" s="37">
        <v>43775</v>
      </c>
      <c r="G187" s="36" t="str">
        <f>CONCATENATE(Table1[[#This Row],[Location Index]],Table1[[#This Row],[NAME]])</f>
        <v>193エコスマイルDX 紫</v>
      </c>
    </row>
    <row r="188" spans="1:7" s="40" customFormat="1">
      <c r="A188" s="44">
        <v>191</v>
      </c>
      <c r="B188" s="36" t="s">
        <v>20</v>
      </c>
      <c r="C188" s="36">
        <v>193</v>
      </c>
      <c r="D188" s="36" t="s">
        <v>163</v>
      </c>
      <c r="E188" s="36">
        <v>6</v>
      </c>
      <c r="F188" s="37">
        <v>43590</v>
      </c>
      <c r="G188" s="36" t="str">
        <f>CONCATENATE(Table1[[#This Row],[Location Index]],Table1[[#This Row],[NAME]])</f>
        <v>193エコスマイルDX 紫</v>
      </c>
    </row>
    <row r="189" spans="1:7" s="40" customFormat="1">
      <c r="A189" s="44">
        <v>192</v>
      </c>
      <c r="B189" s="36" t="s">
        <v>20</v>
      </c>
      <c r="C189" s="36">
        <v>193</v>
      </c>
      <c r="D189" s="36" t="s">
        <v>164</v>
      </c>
      <c r="E189" s="36">
        <v>7</v>
      </c>
      <c r="F189" s="37">
        <v>43899</v>
      </c>
      <c r="G189" s="36" t="str">
        <f>CONCATENATE(Table1[[#This Row],[Location Index]],Table1[[#This Row],[NAME]])</f>
        <v>193ユタカ　赤紫</v>
      </c>
    </row>
    <row r="190" spans="1:7" s="40" customFormat="1">
      <c r="A190" s="44">
        <v>193</v>
      </c>
      <c r="B190" s="36" t="s">
        <v>20</v>
      </c>
      <c r="C190" s="36">
        <v>183</v>
      </c>
      <c r="D190" s="36" t="s">
        <v>214</v>
      </c>
      <c r="E190" s="36">
        <v>9</v>
      </c>
      <c r="F190" s="37">
        <v>43916</v>
      </c>
      <c r="G190" s="36" t="str">
        <f>CONCATENATE(Table1[[#This Row],[Location Index]],Table1[[#This Row],[NAME]])</f>
        <v>183オーリス64 紫</v>
      </c>
    </row>
    <row r="191" spans="1:7" s="40" customFormat="1">
      <c r="A191" s="44">
        <v>194</v>
      </c>
      <c r="B191" s="36" t="s">
        <v>20</v>
      </c>
      <c r="C191" s="36">
        <v>183</v>
      </c>
      <c r="D191" s="36" t="s">
        <v>166</v>
      </c>
      <c r="E191" s="36">
        <v>8</v>
      </c>
      <c r="F191" s="37">
        <v>43010</v>
      </c>
      <c r="G191" s="36" t="str">
        <f>CONCATENATE(Table1[[#This Row],[Location Index]],Table1[[#This Row],[NAME]])</f>
        <v>183D106 紫</v>
      </c>
    </row>
    <row r="192" spans="1:7" s="40" customFormat="1">
      <c r="A192" s="44">
        <v>195</v>
      </c>
      <c r="B192" s="36" t="s">
        <v>20</v>
      </c>
      <c r="C192" s="36">
        <v>282</v>
      </c>
      <c r="D192" s="36" t="s">
        <v>167</v>
      </c>
      <c r="E192" s="36">
        <v>8</v>
      </c>
      <c r="F192" s="37">
        <v>43770</v>
      </c>
      <c r="G192" s="36" t="str">
        <f>CONCATENATE(Table1[[#This Row],[Location Index]],Table1[[#This Row],[NAME]])</f>
        <v>282テクノウォッシュ　N18 肌色</v>
      </c>
    </row>
    <row r="193" spans="1:7" s="40" customFormat="1">
      <c r="A193" s="36">
        <v>196</v>
      </c>
      <c r="B193" s="36" t="s">
        <v>20</v>
      </c>
      <c r="C193" s="36">
        <v>1103</v>
      </c>
      <c r="D193" s="36" t="s">
        <v>167</v>
      </c>
      <c r="E193" s="36">
        <v>9</v>
      </c>
      <c r="F193" s="37">
        <v>43651</v>
      </c>
      <c r="G193" s="36" t="str">
        <f>CONCATENATE(Table1[[#This Row],[Location Index]],Table1[[#This Row],[NAME]])</f>
        <v>1103テクノウォッシュ　N18 肌色</v>
      </c>
    </row>
    <row r="194" spans="1:7" s="40" customFormat="1">
      <c r="A194" s="36">
        <v>197</v>
      </c>
      <c r="B194" s="36" t="s">
        <v>20</v>
      </c>
      <c r="C194" s="36">
        <v>381</v>
      </c>
      <c r="D194" s="36" t="s">
        <v>189</v>
      </c>
      <c r="E194" s="36">
        <v>9</v>
      </c>
      <c r="F194" s="37">
        <v>44033</v>
      </c>
      <c r="G194" s="36" t="str">
        <f>CONCATENATE(Table1[[#This Row],[Location Index]],Table1[[#This Row],[NAME]])</f>
        <v>381重要用紙　失赤</v>
      </c>
    </row>
    <row r="195" spans="1:7" s="40" customFormat="1">
      <c r="A195" s="45">
        <v>198</v>
      </c>
      <c r="B195" s="36" t="s">
        <v>20</v>
      </c>
      <c r="C195" s="36">
        <v>381</v>
      </c>
      <c r="D195" s="36" t="s">
        <v>196</v>
      </c>
      <c r="E195" s="36">
        <v>9</v>
      </c>
      <c r="F195" s="37">
        <v>43916</v>
      </c>
      <c r="G195" s="36" t="str">
        <f>CONCATENATE(Table1[[#This Row],[Location Index]],Table1[[#This Row],[NAME]])</f>
        <v>381店頭用シール　金　赤口</v>
      </c>
    </row>
    <row r="196" spans="1:7" s="40" customFormat="1">
      <c r="A196" s="45">
        <v>199</v>
      </c>
      <c r="B196" s="36" t="s">
        <v>20</v>
      </c>
      <c r="C196" s="36">
        <v>351</v>
      </c>
      <c r="D196" s="36" t="s">
        <v>197</v>
      </c>
      <c r="E196" s="36">
        <v>9</v>
      </c>
      <c r="F196" s="37">
        <v>44007</v>
      </c>
      <c r="G196" s="36" t="str">
        <f>CONCATENATE(Table1[[#This Row],[Location Index]],Table1[[#This Row],[NAME]])</f>
        <v>351MC1000(5L) ピンク</v>
      </c>
    </row>
    <row r="197" spans="1:7" s="40" customFormat="1">
      <c r="A197" s="45"/>
      <c r="B197" s="36" t="s">
        <v>20</v>
      </c>
      <c r="C197" s="36">
        <v>291</v>
      </c>
      <c r="D197" s="36" t="s">
        <v>198</v>
      </c>
      <c r="E197" s="36">
        <v>9</v>
      </c>
      <c r="F197" s="37">
        <v>43997</v>
      </c>
      <c r="G197" s="36" t="str">
        <f>CONCATENATE(Table1[[#This Row],[Location Index]],Table1[[#This Row],[NAME]])</f>
        <v>291CLEANTOP 水色</v>
      </c>
    </row>
    <row r="198" spans="1:7" s="40" customFormat="1">
      <c r="A198" s="45"/>
      <c r="B198" s="36" t="s">
        <v>20</v>
      </c>
      <c r="C198" s="36">
        <v>281</v>
      </c>
      <c r="D198" s="36" t="s">
        <v>199</v>
      </c>
      <c r="E198" s="36">
        <v>9</v>
      </c>
      <c r="F198" s="37">
        <v>43973</v>
      </c>
      <c r="G198" s="36" t="str">
        <f>CONCATENATE(Table1[[#This Row],[Location Index]],Table1[[#This Row],[NAME]])</f>
        <v>281アルカチャレンジ　青</v>
      </c>
    </row>
    <row r="199" spans="1:7" s="40" customFormat="1">
      <c r="A199" s="45"/>
      <c r="B199" s="36" t="s">
        <v>20</v>
      </c>
      <c r="C199" s="36">
        <v>201</v>
      </c>
      <c r="D199" s="36" t="s">
        <v>211</v>
      </c>
      <c r="E199" s="36">
        <v>9</v>
      </c>
      <c r="F199" s="37">
        <v>43861</v>
      </c>
      <c r="G199" s="36" t="str">
        <f>CONCATENATE(Table1[[#This Row],[Location Index]],Table1[[#This Row],[NAME]])</f>
        <v>201ユタカ花粉ホコリ　青</v>
      </c>
    </row>
    <row r="200" spans="1:7" s="40" customFormat="1">
      <c r="A200" s="45"/>
      <c r="B200" s="36" t="s">
        <v>204</v>
      </c>
      <c r="C200" s="36">
        <v>163</v>
      </c>
      <c r="D200" s="36" t="s">
        <v>212</v>
      </c>
      <c r="E200" s="36">
        <v>9</v>
      </c>
      <c r="F200" s="37">
        <v>43948</v>
      </c>
      <c r="G200" s="36" t="str">
        <f>CONCATENATE(Table1[[#This Row],[Location Index]],Table1[[#This Row],[NAME]])</f>
        <v>163サンレックスKスカイ　緑</v>
      </c>
    </row>
    <row r="201" spans="1:7" s="40" customFormat="1">
      <c r="A201" s="45"/>
      <c r="B201" s="36" t="s">
        <v>20</v>
      </c>
      <c r="C201" s="36">
        <v>173</v>
      </c>
      <c r="D201" s="36" t="s">
        <v>213</v>
      </c>
      <c r="E201" s="36">
        <v>9</v>
      </c>
      <c r="F201" s="37">
        <v>44020</v>
      </c>
      <c r="G201" s="36" t="str">
        <f>CONCATENATE(Table1[[#This Row],[Location Index]],Table1[[#This Row],[NAME]])</f>
        <v>173オイル交換シール　緑</v>
      </c>
    </row>
    <row r="202" spans="1:7" s="40" customFormat="1">
      <c r="A202" s="45"/>
      <c r="B202" s="36" t="s">
        <v>20</v>
      </c>
      <c r="C202" s="36">
        <v>302</v>
      </c>
      <c r="D202" s="36" t="s">
        <v>215</v>
      </c>
      <c r="E202" s="36">
        <v>9</v>
      </c>
      <c r="F202" s="37">
        <v>44022</v>
      </c>
      <c r="G202" s="36" t="str">
        <f>CONCATENATE(Table1[[#This Row],[Location Index]],Table1[[#This Row],[NAME]])</f>
        <v>302Dー162　オレンジ</v>
      </c>
    </row>
    <row r="203" spans="1:7" s="40" customFormat="1">
      <c r="A203" s="45"/>
      <c r="B203" s="36" t="s">
        <v>20</v>
      </c>
      <c r="C203" s="36">
        <v>323</v>
      </c>
      <c r="D203" s="36" t="s">
        <v>118</v>
      </c>
      <c r="E203" s="36">
        <v>9</v>
      </c>
      <c r="F203" s="37">
        <v>43578</v>
      </c>
      <c r="G203" s="36" t="str">
        <f>CONCATENATE(Table1[[#This Row],[Location Index]],Table1[[#This Row],[NAME]])</f>
        <v>323酸素系NA05 黄</v>
      </c>
    </row>
    <row r="204" spans="1:7" s="40" customFormat="1">
      <c r="A204" s="45"/>
      <c r="B204" s="36" t="s">
        <v>20</v>
      </c>
      <c r="C204" s="36">
        <v>213</v>
      </c>
      <c r="D204" s="36" t="s">
        <v>284</v>
      </c>
      <c r="E204" s="36">
        <v>9</v>
      </c>
      <c r="F204" s="37">
        <v>44007</v>
      </c>
      <c r="G204" s="36" t="str">
        <f>CONCATENATE(Table1[[#This Row],[Location Index]],Table1[[#This Row],[NAME]])</f>
        <v>213テクノクリア　5LX4 青</v>
      </c>
    </row>
    <row r="205" spans="1:7" s="40" customFormat="1">
      <c r="A205" s="45"/>
      <c r="B205" s="36" t="s">
        <v>20</v>
      </c>
      <c r="C205" s="36">
        <v>273</v>
      </c>
      <c r="D205" s="36" t="s">
        <v>216</v>
      </c>
      <c r="E205" s="36">
        <v>1</v>
      </c>
      <c r="F205" s="37">
        <v>42676</v>
      </c>
      <c r="G205" s="36" t="str">
        <f>CONCATENATE(Table1[[#This Row],[Location Index]],Table1[[#This Row],[NAME]])</f>
        <v>273何々茶</v>
      </c>
    </row>
    <row r="206" spans="1:7" s="40" customFormat="1">
      <c r="A206" s="45"/>
      <c r="B206" s="36" t="s">
        <v>20</v>
      </c>
      <c r="C206" s="36">
        <v>2103</v>
      </c>
      <c r="D206" s="36" t="s">
        <v>217</v>
      </c>
      <c r="E206" s="36">
        <v>9</v>
      </c>
      <c r="F206" s="37">
        <v>43917</v>
      </c>
      <c r="G206" s="36" t="str">
        <f>CONCATENATE(Table1[[#This Row],[Location Index]],Table1[[#This Row],[NAME]])</f>
        <v>2103エコルセNB22 青</v>
      </c>
    </row>
    <row r="207" spans="1:7" s="40" customFormat="1">
      <c r="A207" s="45"/>
      <c r="B207" s="36" t="s">
        <v>20</v>
      </c>
      <c r="C207" s="36">
        <v>2103</v>
      </c>
      <c r="D207" s="36" t="s">
        <v>218</v>
      </c>
      <c r="E207" s="36">
        <v>9</v>
      </c>
      <c r="F207" s="37">
        <v>43917</v>
      </c>
      <c r="G207" s="36" t="str">
        <f>CONCATENATE(Table1[[#This Row],[Location Index]],Table1[[#This Row],[NAME]])</f>
        <v>2103エコルセNB22 オレンジ</v>
      </c>
    </row>
    <row r="208" spans="1:7" s="40" customFormat="1">
      <c r="A208" s="45"/>
      <c r="B208" s="36" t="s">
        <v>20</v>
      </c>
      <c r="C208" s="36">
        <v>2103</v>
      </c>
      <c r="D208" s="36" t="s">
        <v>219</v>
      </c>
      <c r="E208" s="36">
        <v>9</v>
      </c>
      <c r="F208" s="37">
        <v>43917</v>
      </c>
      <c r="G208" s="36" t="str">
        <f>CONCATENATE(Table1[[#This Row],[Location Index]],Table1[[#This Row],[NAME]])</f>
        <v>2103エコルセNB22 紺</v>
      </c>
    </row>
    <row r="209" spans="1:7" s="40" customFormat="1">
      <c r="A209" s="45"/>
      <c r="B209" s="36" t="s">
        <v>20</v>
      </c>
      <c r="C209" s="36">
        <v>353</v>
      </c>
      <c r="D209" s="36" t="s">
        <v>418</v>
      </c>
      <c r="E209" s="36">
        <v>9</v>
      </c>
      <c r="F209" s="37">
        <v>44064</v>
      </c>
      <c r="G209" s="36" t="str">
        <f>CONCATENATE(Table1[[#This Row],[Location Index]],Table1[[#This Row],[NAME]])</f>
        <v>353インステゥルメントミルク　黄</v>
      </c>
    </row>
    <row r="210" spans="1:7" s="40" customFormat="1">
      <c r="A210" s="45"/>
      <c r="B210" s="36" t="s">
        <v>20</v>
      </c>
      <c r="C210" s="36">
        <v>102</v>
      </c>
      <c r="D210" s="36" t="s">
        <v>232</v>
      </c>
      <c r="E210" s="36">
        <v>9</v>
      </c>
      <c r="F210" s="37">
        <v>44078</v>
      </c>
      <c r="G210" s="36" t="str">
        <f>CONCATENATE(Table1[[#This Row],[Location Index]],Table1[[#This Row],[NAME]])</f>
        <v>102D5-2557 緑</v>
      </c>
    </row>
    <row r="211" spans="1:7" s="40" customFormat="1">
      <c r="A211" s="45"/>
      <c r="B211" s="36" t="s">
        <v>20</v>
      </c>
      <c r="C211" s="36">
        <v>131</v>
      </c>
      <c r="D211" s="36" t="s">
        <v>238</v>
      </c>
      <c r="E211" s="36">
        <v>0</v>
      </c>
      <c r="F211" s="37">
        <v>44103</v>
      </c>
      <c r="G211" s="36" t="str">
        <f>CONCATENATE(Table1[[#This Row],[Location Index]],Table1[[#This Row],[NAME]])</f>
        <v>131J 墨　S</v>
      </c>
    </row>
    <row r="212" spans="1:7" s="40" customFormat="1">
      <c r="A212" s="45"/>
      <c r="B212" s="36" t="s">
        <v>20</v>
      </c>
      <c r="C212" s="36">
        <v>131</v>
      </c>
      <c r="D212" s="36" t="s">
        <v>238</v>
      </c>
      <c r="E212" s="36">
        <v>80</v>
      </c>
      <c r="F212" s="37">
        <v>44103</v>
      </c>
      <c r="G212" s="36" t="str">
        <f>CONCATENATE(Table1[[#This Row],[Location Index]],Table1[[#This Row],[NAME]])</f>
        <v>131J 墨　S</v>
      </c>
    </row>
    <row r="213" spans="1:7" s="40" customFormat="1">
      <c r="A213" s="45"/>
      <c r="B213" s="36" t="s">
        <v>20</v>
      </c>
      <c r="C213" s="36">
        <v>131</v>
      </c>
      <c r="D213" s="36" t="s">
        <v>238</v>
      </c>
      <c r="E213" s="36">
        <v>0</v>
      </c>
      <c r="F213" s="37">
        <v>44103</v>
      </c>
      <c r="G213" s="36" t="str">
        <f>CONCATENATE(Table1[[#This Row],[Location Index]],Table1[[#This Row],[NAME]])</f>
        <v>131J 墨　S</v>
      </c>
    </row>
    <row r="214" spans="1:7" s="40" customFormat="1">
      <c r="A214" s="45"/>
      <c r="B214" s="36" t="s">
        <v>20</v>
      </c>
      <c r="C214" s="36">
        <v>193</v>
      </c>
      <c r="D214" s="36" t="s">
        <v>179</v>
      </c>
      <c r="E214" s="36">
        <v>9</v>
      </c>
      <c r="F214" s="37">
        <v>44123</v>
      </c>
      <c r="G214" s="36" t="str">
        <f>CONCATENATE(Table1[[#This Row],[Location Index]],Table1[[#This Row],[NAME]])</f>
        <v>193D-224 紫</v>
      </c>
    </row>
    <row r="215" spans="1:7" s="40" customFormat="1">
      <c r="A215" s="45"/>
      <c r="B215" s="36" t="s">
        <v>204</v>
      </c>
      <c r="C215" s="36">
        <v>102</v>
      </c>
      <c r="D215" s="39" t="s">
        <v>249</v>
      </c>
      <c r="E215" s="36">
        <v>10</v>
      </c>
      <c r="F215" s="37">
        <v>44127</v>
      </c>
      <c r="G215" s="36" t="str">
        <f>CONCATENATE(Table1[[#This Row],[Location Index]],Table1[[#This Row],[NAME]])</f>
        <v>102ユタカ　FG　草</v>
      </c>
    </row>
    <row r="216" spans="1:7" s="40" customFormat="1">
      <c r="A216" s="45"/>
      <c r="B216" s="36" t="s">
        <v>204</v>
      </c>
      <c r="C216" s="36">
        <v>223</v>
      </c>
      <c r="D216" s="36" t="s">
        <v>52</v>
      </c>
      <c r="E216" s="36">
        <v>10</v>
      </c>
      <c r="F216" s="37">
        <v>44176</v>
      </c>
      <c r="G216" s="36" t="str">
        <f>CONCATENATE(Table1[[#This Row],[Location Index]],Table1[[#This Row],[NAME]])</f>
        <v>223D-181 青</v>
      </c>
    </row>
    <row r="217" spans="1:7" s="40" customFormat="1">
      <c r="A217" s="45"/>
      <c r="B217" s="36" t="s">
        <v>204</v>
      </c>
      <c r="C217" s="36">
        <v>223</v>
      </c>
      <c r="D217" s="36" t="s">
        <v>52</v>
      </c>
      <c r="E217" s="36">
        <v>10</v>
      </c>
      <c r="F217" s="37">
        <v>44176</v>
      </c>
      <c r="G217" s="36" t="str">
        <f>CONCATENATE(Table1[[#This Row],[Location Index]],Table1[[#This Row],[NAME]])</f>
        <v>223D-181 青</v>
      </c>
    </row>
    <row r="218" spans="1:7" s="40" customFormat="1">
      <c r="A218" s="45"/>
      <c r="B218" s="36" t="s">
        <v>20</v>
      </c>
      <c r="C218" s="36">
        <v>191</v>
      </c>
      <c r="D218" s="36" t="s">
        <v>275</v>
      </c>
      <c r="E218" s="36">
        <v>10</v>
      </c>
      <c r="F218" s="37">
        <v>44209</v>
      </c>
      <c r="G218" s="36" t="str">
        <f>CONCATENATE(Table1[[#This Row],[Location Index]],Table1[[#This Row],[NAME]])</f>
        <v>191ユカタ　金赤</v>
      </c>
    </row>
    <row r="219" spans="1:7" s="40" customFormat="1">
      <c r="A219" s="45"/>
      <c r="B219" s="36" t="s">
        <v>20</v>
      </c>
      <c r="C219" s="36">
        <v>102</v>
      </c>
      <c r="D219" s="36" t="s">
        <v>333</v>
      </c>
      <c r="E219" s="36">
        <v>4</v>
      </c>
      <c r="F219" s="37" t="s">
        <v>247</v>
      </c>
      <c r="G219" s="36" t="str">
        <f>CONCATENATE(Table1[[#This Row],[Location Index]],Table1[[#This Row],[NAME]])</f>
        <v>102D91 青</v>
      </c>
    </row>
    <row r="220" spans="1:7" s="40" customFormat="1">
      <c r="A220" s="45"/>
      <c r="B220" s="36" t="s">
        <v>20</v>
      </c>
      <c r="C220" s="36">
        <v>213</v>
      </c>
      <c r="D220" s="36" t="s">
        <v>337</v>
      </c>
      <c r="E220" s="36">
        <v>9</v>
      </c>
      <c r="F220" s="37">
        <v>44277</v>
      </c>
      <c r="G220" s="36" t="str">
        <f>CONCATENATE(Table1[[#This Row],[Location Index]],Table1[[#This Row],[NAME]])</f>
        <v>213J シール用D2589水色</v>
      </c>
    </row>
    <row r="221" spans="1:7" s="40" customFormat="1">
      <c r="A221" s="45"/>
      <c r="B221" s="36" t="s">
        <v>20</v>
      </c>
      <c r="C221" s="36">
        <v>1103</v>
      </c>
      <c r="D221" s="36" t="s">
        <v>419</v>
      </c>
      <c r="E221" s="36">
        <v>9</v>
      </c>
      <c r="F221" s="37">
        <v>44294</v>
      </c>
      <c r="G221" s="36" t="str">
        <f>CONCATENATE(Table1[[#This Row],[Location Index]],Table1[[#This Row],[NAME]])</f>
        <v>1103J シール用　要冷蔵シール　茶</v>
      </c>
    </row>
    <row r="222" spans="1:7" s="40" customFormat="1">
      <c r="A222" s="45"/>
      <c r="B222" s="36" t="s">
        <v>20</v>
      </c>
      <c r="C222" s="36">
        <v>1103</v>
      </c>
      <c r="D222" s="36" t="s">
        <v>420</v>
      </c>
      <c r="E222" s="36">
        <v>9</v>
      </c>
      <c r="F222" s="37">
        <v>44292</v>
      </c>
      <c r="G222" s="36" t="str">
        <f>CONCATENATE(Table1[[#This Row],[Location Index]],Table1[[#This Row],[NAME]])</f>
        <v>1103J シール用D2067　肌色</v>
      </c>
    </row>
    <row r="223" spans="1:7" s="40" customFormat="1">
      <c r="A223" s="45"/>
      <c r="B223" s="36"/>
      <c r="C223" s="36"/>
      <c r="D223" s="36"/>
      <c r="E223" s="36"/>
      <c r="F223" s="37"/>
      <c r="G223" s="36" t="str">
        <f>CONCATENATE(Table1[[#This Row],[Location Index]],Table1[[#This Row],[NAME]])</f>
        <v/>
      </c>
    </row>
    <row r="224" spans="1:7" s="40" customFormat="1">
      <c r="A224" s="45"/>
      <c r="B224" s="36"/>
      <c r="C224" s="36"/>
      <c r="D224" s="36"/>
      <c r="E224" s="36"/>
      <c r="F224" s="37"/>
      <c r="G224" s="36" t="str">
        <f>CONCATENATE(Table1[[#This Row],[Location Index]],Table1[[#This Row],[NAME]])</f>
        <v/>
      </c>
    </row>
    <row r="225" spans="1:7" s="40" customFormat="1">
      <c r="A225" s="45"/>
      <c r="B225" s="36"/>
      <c r="C225" s="36"/>
      <c r="D225" s="36"/>
      <c r="E225" s="36"/>
      <c r="F225" s="37"/>
      <c r="G225" s="36" t="str">
        <f>CONCATENATE(Table1[[#This Row],[Location Index]],Table1[[#This Row],[NAME]])</f>
        <v/>
      </c>
    </row>
    <row r="226" spans="1:7" s="40" customFormat="1">
      <c r="A226" s="45"/>
      <c r="B226" s="36"/>
      <c r="C226" s="36"/>
      <c r="D226" s="36"/>
      <c r="E226" s="36"/>
      <c r="F226" s="37"/>
      <c r="G226" s="36" t="str">
        <f>CONCATENATE(Table1[[#This Row],[Location Index]],Table1[[#This Row],[NAME]])</f>
        <v/>
      </c>
    </row>
    <row r="227" spans="1:7" s="40" customFormat="1">
      <c r="A227" s="45"/>
      <c r="B227" s="36"/>
      <c r="C227" s="36"/>
      <c r="D227" s="36"/>
      <c r="E227" s="36"/>
      <c r="F227" s="37"/>
      <c r="G227" s="36" t="str">
        <f>CONCATENATE(Table1[[#This Row],[Location Index]],Table1[[#This Row],[NAME]])</f>
        <v/>
      </c>
    </row>
    <row r="228" spans="1:7" s="40" customFormat="1">
      <c r="A228" s="45"/>
      <c r="B228" s="36"/>
      <c r="C228" s="36"/>
      <c r="D228" s="36"/>
      <c r="E228" s="36"/>
      <c r="F228" s="37"/>
      <c r="G228" s="36" t="str">
        <f>CONCATENATE(Table1[[#This Row],[Location Index]],Table1[[#This Row],[NAME]])</f>
        <v/>
      </c>
    </row>
    <row r="229" spans="1:7" s="40" customFormat="1">
      <c r="A229" s="45"/>
      <c r="B229" s="36"/>
      <c r="C229" s="36"/>
      <c r="D229" s="36"/>
      <c r="E229" s="36"/>
      <c r="F229" s="37"/>
      <c r="G229" s="36" t="str">
        <f>CONCATENATE(Table1[[#This Row],[Location Index]],Table1[[#This Row],[NAME]])</f>
        <v/>
      </c>
    </row>
    <row r="230" spans="1:7" s="40" customFormat="1">
      <c r="A230" s="45"/>
      <c r="B230" s="36"/>
      <c r="C230" s="36"/>
      <c r="D230" s="36"/>
      <c r="E230" s="36"/>
      <c r="F230" s="37"/>
      <c r="G230" s="36" t="str">
        <f>CONCATENATE(Table1[[#This Row],[Location Index]],Table1[[#This Row],[NAME]])</f>
        <v/>
      </c>
    </row>
    <row r="231" spans="1:7" s="40" customFormat="1">
      <c r="A231" s="45"/>
      <c r="B231" s="36"/>
      <c r="C231" s="36"/>
      <c r="D231" s="36"/>
      <c r="E231" s="36"/>
      <c r="F231" s="37"/>
      <c r="G231" s="36" t="str">
        <f>CONCATENATE(Table1[[#This Row],[Location Index]],Table1[[#This Row],[NAME]])</f>
        <v/>
      </c>
    </row>
    <row r="232" spans="1:7" s="40" customFormat="1">
      <c r="A232" s="45"/>
      <c r="B232" s="36"/>
      <c r="C232" s="36"/>
      <c r="D232" s="36"/>
      <c r="E232" s="36"/>
      <c r="F232" s="37"/>
      <c r="G232" s="36" t="str">
        <f>CONCATENATE(Table1[[#This Row],[Location Index]],Table1[[#This Row],[NAME]])</f>
        <v/>
      </c>
    </row>
    <row r="233" spans="1:7" s="40" customFormat="1">
      <c r="A233" s="45"/>
      <c r="B233" s="36"/>
      <c r="C233" s="36"/>
      <c r="D233" s="36"/>
      <c r="E233" s="36"/>
      <c r="F233" s="37"/>
      <c r="G233" s="36" t="str">
        <f>CONCATENATE(Table1[[#This Row],[Location Index]],Table1[[#This Row],[NAME]])</f>
        <v/>
      </c>
    </row>
    <row r="234" spans="1:7" s="40" customFormat="1">
      <c r="A234" s="45"/>
      <c r="B234" s="36"/>
      <c r="C234" s="36"/>
      <c r="D234" s="36"/>
      <c r="E234" s="36"/>
      <c r="F234" s="37"/>
      <c r="G234" s="36" t="str">
        <f>CONCATENATE(Table1[[#This Row],[Location Index]],Table1[[#This Row],[NAME]])</f>
        <v/>
      </c>
    </row>
    <row r="235" spans="1:7" s="40" customFormat="1">
      <c r="A235" s="45"/>
      <c r="B235" s="36"/>
      <c r="C235" s="36"/>
      <c r="D235" s="36"/>
      <c r="E235" s="36"/>
      <c r="F235" s="37"/>
      <c r="G235" s="36" t="str">
        <f>CONCATENATE(Table1[[#This Row],[Location Index]],Table1[[#This Row],[NAME]])</f>
        <v/>
      </c>
    </row>
    <row r="236" spans="1:7" s="40" customFormat="1">
      <c r="A236" s="45"/>
      <c r="B236" s="36"/>
      <c r="C236" s="36"/>
      <c r="D236" s="36"/>
      <c r="E236" s="36"/>
      <c r="F236" s="37"/>
      <c r="G236" s="36" t="str">
        <f>CONCATENATE(Table1[[#This Row],[Location Index]],Table1[[#This Row],[NAME]])</f>
        <v/>
      </c>
    </row>
    <row r="237" spans="1:7" s="40" customFormat="1">
      <c r="A237" s="45"/>
      <c r="B237" s="36"/>
      <c r="C237" s="36"/>
      <c r="D237" s="36"/>
      <c r="E237" s="36"/>
      <c r="F237" s="37"/>
      <c r="G237" s="36" t="str">
        <f>CONCATENATE(Table1[[#This Row],[Location Index]],Table1[[#This Row],[NAME]])</f>
        <v/>
      </c>
    </row>
    <row r="238" spans="1:7" s="40" customFormat="1">
      <c r="A238" s="46"/>
      <c r="B238" s="36"/>
      <c r="C238" s="36" t="s">
        <v>421</v>
      </c>
      <c r="D238" s="36"/>
      <c r="E238" s="36"/>
      <c r="F238" s="37"/>
      <c r="G238" s="36" t="str">
        <f>CONCATENATE(Table1[[#This Row],[Location Index]],Table1[[#This Row],[NAME]])</f>
        <v>　</v>
      </c>
    </row>
  </sheetData>
  <phoneticPr fontId="3"/>
  <pageMargins left="0.7" right="0.7" top="0.75" bottom="0.75" header="0" footer="0"/>
  <pageSetup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F1BAF-830F-F94B-B4D1-832B6BC24B8F}">
  <dimension ref="B1:W23"/>
  <sheetViews>
    <sheetView tabSelected="1" zoomScale="110" zoomScaleNormal="11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7.5" bestFit="1" customWidth="1"/>
    <col min="3" max="3" width="8.8984375" bestFit="1" customWidth="1"/>
    <col min="4" max="6" width="4.8984375" bestFit="1" customWidth="1"/>
    <col min="7" max="8" width="3.8984375" bestFit="1" customWidth="1"/>
    <col min="9" max="10" width="4.8984375" bestFit="1" customWidth="1"/>
    <col min="11" max="14" width="3.8984375" bestFit="1" customWidth="1"/>
    <col min="15" max="15" width="4.8984375" bestFit="1" customWidth="1"/>
    <col min="16" max="21" width="3.8984375" bestFit="1" customWidth="1"/>
    <col min="22" max="23" width="4.8984375" bestFit="1" customWidth="1"/>
    <col min="24" max="24" width="11.8984375" bestFit="1" customWidth="1"/>
  </cols>
  <sheetData>
    <row r="1" spans="2:23">
      <c r="B1" s="24">
        <f>LastSavedTimeStamp()</f>
        <v>45158.746203703704</v>
      </c>
    </row>
    <row r="2" spans="2:23">
      <c r="B2" s="7" t="s">
        <v>194</v>
      </c>
      <c r="C2" s="7" t="s">
        <v>191</v>
      </c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</row>
    <row r="3" spans="2:23">
      <c r="B3" s="7" t="s">
        <v>0</v>
      </c>
      <c r="C3" s="25">
        <v>40</v>
      </c>
      <c r="D3" s="25">
        <v>90</v>
      </c>
      <c r="E3" s="25">
        <v>100</v>
      </c>
      <c r="F3" s="25">
        <v>105</v>
      </c>
      <c r="G3" s="25">
        <v>110</v>
      </c>
      <c r="H3" s="25">
        <v>115</v>
      </c>
      <c r="I3" s="25">
        <v>120</v>
      </c>
      <c r="J3" s="25">
        <v>125</v>
      </c>
      <c r="K3" s="25">
        <v>130</v>
      </c>
      <c r="L3" s="25">
        <v>135</v>
      </c>
      <c r="M3" s="25">
        <v>140</v>
      </c>
      <c r="N3" s="25">
        <v>150</v>
      </c>
      <c r="O3" s="25">
        <v>155</v>
      </c>
      <c r="P3" s="25">
        <v>160</v>
      </c>
      <c r="Q3" s="25">
        <v>165</v>
      </c>
      <c r="R3" s="25">
        <v>175</v>
      </c>
      <c r="S3" s="25">
        <v>185</v>
      </c>
      <c r="T3" s="25">
        <v>205</v>
      </c>
      <c r="U3" s="25">
        <v>210</v>
      </c>
      <c r="V3" s="25">
        <v>215</v>
      </c>
      <c r="W3" s="25">
        <v>220</v>
      </c>
    </row>
    <row r="4" spans="2:23">
      <c r="B4" s="5" t="s">
        <v>410</v>
      </c>
      <c r="C4" s="30"/>
      <c r="D4" s="30"/>
      <c r="E4" s="30"/>
      <c r="F4" s="30"/>
      <c r="G4" s="30"/>
      <c r="H4" s="30"/>
      <c r="I4" s="30"/>
      <c r="J4" s="30"/>
      <c r="K4" s="30"/>
      <c r="L4" s="30"/>
      <c r="M4" s="30">
        <v>500</v>
      </c>
      <c r="N4" s="30"/>
      <c r="O4" s="30"/>
      <c r="P4" s="30"/>
      <c r="Q4" s="30"/>
      <c r="R4" s="30"/>
      <c r="S4" s="30"/>
      <c r="T4" s="30"/>
      <c r="U4" s="30"/>
      <c r="V4" s="30"/>
      <c r="W4" s="30"/>
    </row>
    <row r="5" spans="2:23">
      <c r="B5" s="5" t="s">
        <v>406</v>
      </c>
      <c r="C5" s="30"/>
      <c r="D5" s="30"/>
      <c r="E5" s="30">
        <v>1200</v>
      </c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</row>
    <row r="6" spans="2:23">
      <c r="B6" s="5" t="s">
        <v>407</v>
      </c>
      <c r="C6" s="30"/>
      <c r="D6" s="30"/>
      <c r="E6" s="30"/>
      <c r="F6" s="30"/>
      <c r="G6" s="30"/>
      <c r="H6" s="30"/>
      <c r="I6" s="30"/>
      <c r="J6" s="30"/>
      <c r="K6" s="30"/>
      <c r="L6" s="30"/>
      <c r="M6" s="30"/>
      <c r="N6" s="30"/>
      <c r="O6" s="30"/>
      <c r="P6" s="30"/>
      <c r="Q6" s="30"/>
      <c r="R6" s="30">
        <v>20</v>
      </c>
      <c r="S6" s="30"/>
      <c r="T6" s="30"/>
      <c r="U6" s="30"/>
      <c r="V6" s="30"/>
      <c r="W6" s="30"/>
    </row>
    <row r="7" spans="2:23">
      <c r="B7" s="5" t="s">
        <v>206</v>
      </c>
      <c r="C7" s="30"/>
      <c r="D7" s="30"/>
      <c r="E7" s="30"/>
      <c r="F7" s="30"/>
      <c r="G7" s="30"/>
      <c r="H7" s="30"/>
      <c r="I7" s="30"/>
      <c r="J7" s="30"/>
      <c r="K7" s="30"/>
      <c r="L7" s="30">
        <v>60</v>
      </c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</row>
    <row r="8" spans="2:23">
      <c r="B8" s="5" t="s">
        <v>281</v>
      </c>
      <c r="C8" s="30"/>
      <c r="D8" s="30">
        <v>950</v>
      </c>
      <c r="E8" s="30"/>
      <c r="F8" s="30"/>
      <c r="G8" s="30">
        <v>600</v>
      </c>
      <c r="H8" s="30">
        <v>180</v>
      </c>
      <c r="I8" s="30">
        <v>600</v>
      </c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</row>
    <row r="9" spans="2:23">
      <c r="B9" s="5" t="s">
        <v>372</v>
      </c>
      <c r="C9" s="30"/>
      <c r="D9" s="30"/>
      <c r="E9" s="30"/>
      <c r="F9" s="30"/>
      <c r="G9" s="30"/>
      <c r="H9" s="30"/>
      <c r="I9" s="30"/>
      <c r="J9" s="30"/>
      <c r="K9" s="30"/>
      <c r="L9" s="30">
        <v>0</v>
      </c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</row>
    <row r="10" spans="2:23">
      <c r="B10" s="5" t="s">
        <v>408</v>
      </c>
      <c r="C10" s="30"/>
      <c r="D10" s="30"/>
      <c r="E10" s="30">
        <v>1450</v>
      </c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  <c r="V10" s="30"/>
      <c r="W10" s="30"/>
    </row>
    <row r="11" spans="2:23">
      <c r="B11" s="5" t="s">
        <v>258</v>
      </c>
      <c r="C11" s="30"/>
      <c r="D11" s="30"/>
      <c r="E11" s="30"/>
      <c r="F11" s="30"/>
      <c r="G11" s="30"/>
      <c r="H11" s="30"/>
      <c r="I11" s="30"/>
      <c r="J11" s="30"/>
      <c r="K11" s="30"/>
      <c r="L11" s="30"/>
      <c r="M11" s="30"/>
      <c r="N11" s="30"/>
      <c r="O11" s="30"/>
      <c r="P11" s="30"/>
      <c r="Q11" s="30"/>
      <c r="R11" s="30"/>
      <c r="S11" s="30"/>
      <c r="T11" s="30"/>
      <c r="U11" s="30">
        <v>0</v>
      </c>
      <c r="V11" s="30"/>
      <c r="W11" s="30"/>
    </row>
    <row r="12" spans="2:23">
      <c r="B12" s="5" t="s">
        <v>345</v>
      </c>
      <c r="C12" s="30">
        <v>240</v>
      </c>
      <c r="D12" s="30"/>
      <c r="E12" s="30">
        <v>80</v>
      </c>
      <c r="F12" s="30">
        <v>1200</v>
      </c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</row>
    <row r="13" spans="2:23">
      <c r="B13" s="5" t="s">
        <v>404</v>
      </c>
      <c r="C13" s="30"/>
      <c r="D13" s="30">
        <v>600</v>
      </c>
      <c r="E13" s="30"/>
      <c r="F13" s="30"/>
      <c r="G13" s="30">
        <v>200</v>
      </c>
      <c r="H13" s="30"/>
      <c r="I13" s="30">
        <v>1600</v>
      </c>
      <c r="J13" s="30"/>
      <c r="K13" s="30">
        <v>830</v>
      </c>
      <c r="L13" s="30"/>
      <c r="M13" s="30">
        <v>290</v>
      </c>
      <c r="N13" s="30"/>
      <c r="O13" s="30"/>
      <c r="P13" s="30"/>
      <c r="Q13" s="30"/>
      <c r="R13" s="30"/>
      <c r="S13" s="30"/>
      <c r="T13" s="30"/>
      <c r="U13" s="30"/>
      <c r="V13" s="30"/>
      <c r="W13" s="30"/>
    </row>
    <row r="14" spans="2:23">
      <c r="B14" s="5" t="s">
        <v>412</v>
      </c>
      <c r="C14" s="30"/>
      <c r="D14" s="30">
        <v>0</v>
      </c>
      <c r="E14" s="30"/>
      <c r="F14" s="30"/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</row>
    <row r="15" spans="2:23">
      <c r="B15" s="5" t="s">
        <v>411</v>
      </c>
      <c r="C15" s="30"/>
      <c r="D15" s="30">
        <v>1200</v>
      </c>
      <c r="E15" s="30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</row>
    <row r="16" spans="2:23">
      <c r="B16" s="5" t="s">
        <v>403</v>
      </c>
      <c r="C16" s="30"/>
      <c r="D16" s="30">
        <v>800</v>
      </c>
      <c r="E16" s="30"/>
      <c r="F16" s="30"/>
      <c r="G16" s="30"/>
      <c r="H16" s="30">
        <v>300</v>
      </c>
      <c r="I16" s="30"/>
      <c r="J16" s="30">
        <v>1400</v>
      </c>
      <c r="K16" s="30"/>
      <c r="L16" s="30"/>
      <c r="M16" s="30">
        <v>0</v>
      </c>
      <c r="N16" s="30"/>
      <c r="O16" s="30">
        <v>1100</v>
      </c>
      <c r="P16" s="30"/>
      <c r="Q16" s="30">
        <v>0</v>
      </c>
      <c r="R16" s="30"/>
      <c r="S16" s="30">
        <v>500</v>
      </c>
      <c r="T16" s="30">
        <v>800</v>
      </c>
      <c r="U16" s="30"/>
      <c r="V16" s="30">
        <v>1400</v>
      </c>
      <c r="W16" s="30"/>
    </row>
    <row r="17" spans="2:23">
      <c r="B17" s="5" t="s">
        <v>397</v>
      </c>
      <c r="C17" s="30"/>
      <c r="D17" s="30">
        <v>540</v>
      </c>
      <c r="E17" s="30"/>
      <c r="F17" s="30"/>
      <c r="G17" s="30"/>
      <c r="H17" s="30"/>
      <c r="I17" s="30"/>
      <c r="J17" s="30">
        <v>9</v>
      </c>
      <c r="K17" s="30"/>
      <c r="L17" s="30"/>
      <c r="M17" s="30"/>
      <c r="N17" s="30">
        <v>800</v>
      </c>
      <c r="O17" s="30"/>
      <c r="P17" s="30"/>
      <c r="Q17" s="30"/>
      <c r="R17" s="30"/>
      <c r="S17" s="30"/>
      <c r="T17" s="30"/>
      <c r="U17" s="30"/>
      <c r="V17" s="30"/>
      <c r="W17" s="30"/>
    </row>
    <row r="18" spans="2:23">
      <c r="B18" s="5" t="s">
        <v>402</v>
      </c>
      <c r="C18" s="30"/>
      <c r="D18" s="30"/>
      <c r="E18" s="30"/>
      <c r="F18" s="30"/>
      <c r="G18" s="30"/>
      <c r="H18" s="30"/>
      <c r="I18" s="30"/>
      <c r="J18" s="30"/>
      <c r="K18" s="30">
        <v>0</v>
      </c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</row>
    <row r="19" spans="2:23">
      <c r="B19" s="5" t="s">
        <v>401</v>
      </c>
      <c r="C19" s="30"/>
      <c r="D19" s="30"/>
      <c r="E19" s="30"/>
      <c r="F19" s="30"/>
      <c r="G19" s="30"/>
      <c r="H19" s="30"/>
      <c r="I19" s="30"/>
      <c r="J19" s="30"/>
      <c r="K19" s="30">
        <v>30</v>
      </c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</row>
    <row r="20" spans="2:23">
      <c r="B20" s="5" t="s">
        <v>413</v>
      </c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>
        <v>1100</v>
      </c>
    </row>
    <row r="21" spans="2:23">
      <c r="B21" s="5" t="s">
        <v>399</v>
      </c>
      <c r="C21" s="30"/>
      <c r="D21" s="30"/>
      <c r="E21" s="30">
        <v>15</v>
      </c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</row>
    <row r="22" spans="2:23">
      <c r="B22" s="5" t="s">
        <v>400</v>
      </c>
      <c r="C22" s="30"/>
      <c r="D22" s="30">
        <v>1200</v>
      </c>
      <c r="E22" s="30"/>
      <c r="F22" s="30"/>
      <c r="G22" s="30"/>
      <c r="H22" s="30"/>
      <c r="I22" s="30"/>
      <c r="J22" s="30"/>
      <c r="K22" s="30"/>
      <c r="L22" s="30"/>
      <c r="M22" s="30">
        <v>520</v>
      </c>
      <c r="N22" s="30"/>
      <c r="O22" s="30">
        <v>1600</v>
      </c>
      <c r="P22" s="30">
        <v>0</v>
      </c>
      <c r="Q22" s="30"/>
      <c r="R22" s="30"/>
      <c r="S22" s="30"/>
      <c r="T22" s="30"/>
      <c r="U22" s="30"/>
      <c r="V22" s="30"/>
      <c r="W22" s="30"/>
    </row>
    <row r="23" spans="2:23">
      <c r="B23" s="5" t="s">
        <v>398</v>
      </c>
      <c r="C23" s="30"/>
      <c r="D23" s="30">
        <v>100</v>
      </c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N276"/>
  <sheetViews>
    <sheetView zoomScale="125" zoomScaleNormal="120" workbookViewId="0">
      <pane ySplit="5" topLeftCell="A267" activePane="bottomLeft" state="frozen"/>
      <selection pane="bottomLeft" activeCell="A2" sqref="A2"/>
    </sheetView>
  </sheetViews>
  <sheetFormatPr baseColWidth="10" defaultColWidth="9.19921875" defaultRowHeight="19"/>
  <cols>
    <col min="1" max="1" width="9.8984375" style="8" bestFit="1" customWidth="1"/>
    <col min="2" max="2" width="25.19921875" style="9" customWidth="1"/>
    <col min="3" max="3" width="5.8984375" style="9" bestFit="1" customWidth="1"/>
    <col min="4" max="4" width="6.296875" style="9" bestFit="1" customWidth="1"/>
    <col min="5" max="5" width="5" style="9" bestFit="1" customWidth="1"/>
    <col min="6" max="6" width="5.19921875" style="9" bestFit="1" customWidth="1"/>
    <col min="7" max="7" width="5.3984375" style="9" bestFit="1" customWidth="1"/>
    <col min="8" max="8" width="8.8984375" style="9" bestFit="1" customWidth="1"/>
    <col min="9" max="9" width="26.796875" style="9" hidden="1" customWidth="1"/>
    <col min="10" max="10" width="7.5" style="9" customWidth="1"/>
    <col min="11" max="11" width="17.796875" style="9" bestFit="1" customWidth="1"/>
    <col min="12" max="12" width="17.59765625" style="9" bestFit="1" customWidth="1"/>
    <col min="13" max="13" width="20.3984375" style="9" bestFit="1" customWidth="1"/>
    <col min="14" max="14" width="10.3984375" style="9" customWidth="1"/>
    <col min="15" max="15" width="13.796875" style="9" bestFit="1" customWidth="1"/>
    <col min="16" max="29" width="10.3984375" style="9" customWidth="1"/>
    <col min="30" max="16384" width="9.19921875" style="9"/>
  </cols>
  <sheetData>
    <row r="1" spans="1:14" ht="5" customHeight="1">
      <c r="K1"/>
      <c r="L1"/>
      <c r="M1"/>
      <c r="N1"/>
    </row>
    <row r="2" spans="1:14" ht="22">
      <c r="A2" s="10"/>
      <c r="B2" s="9" t="s">
        <v>394</v>
      </c>
      <c r="H2" s="19"/>
      <c r="K2"/>
      <c r="L2"/>
      <c r="M2"/>
      <c r="N2"/>
    </row>
    <row r="3" spans="1:14" ht="22">
      <c r="H3" s="27"/>
      <c r="K3"/>
      <c r="L3"/>
      <c r="M3"/>
      <c r="N3"/>
    </row>
    <row r="4" spans="1:14" ht="8" customHeight="1">
      <c r="B4" s="11"/>
      <c r="K4"/>
      <c r="L4"/>
      <c r="M4"/>
      <c r="N4"/>
    </row>
    <row r="5" spans="1:14" ht="22">
      <c r="A5" s="8" t="s">
        <v>223</v>
      </c>
      <c r="B5" s="9" t="s">
        <v>0</v>
      </c>
      <c r="C5" s="12" t="s">
        <v>191</v>
      </c>
      <c r="D5" s="12" t="s">
        <v>192</v>
      </c>
      <c r="E5" s="12" t="s">
        <v>396</v>
      </c>
      <c r="F5" s="12" t="s">
        <v>193</v>
      </c>
      <c r="G5" s="9" t="s">
        <v>1</v>
      </c>
      <c r="H5" s="12" t="s">
        <v>2</v>
      </c>
      <c r="I5" s="12" t="s">
        <v>195</v>
      </c>
      <c r="K5"/>
      <c r="L5"/>
      <c r="M5"/>
      <c r="N5"/>
    </row>
    <row r="6" spans="1:14" ht="22">
      <c r="A6" s="31" t="s">
        <v>3</v>
      </c>
      <c r="B6" s="32" t="s">
        <v>403</v>
      </c>
      <c r="C6" s="32">
        <v>185</v>
      </c>
      <c r="D6" s="32">
        <v>600</v>
      </c>
      <c r="E6" s="32">
        <v>1</v>
      </c>
      <c r="F6" s="32">
        <f t="shared" ref="F6:F29" si="0">E6*D6</f>
        <v>600</v>
      </c>
      <c r="G6" s="32">
        <v>600</v>
      </c>
      <c r="H6" s="32">
        <f t="shared" ref="H6:H64" si="1">F6-G6</f>
        <v>0</v>
      </c>
      <c r="I6" s="9" t="str">
        <f>CONCATENATE(Table2[[#This Row],[Specs]],Table2[[#This Row],[Width]])</f>
        <v>ユポ80 MD 8GB185</v>
      </c>
      <c r="K6"/>
      <c r="L6"/>
      <c r="M6"/>
      <c r="N6"/>
    </row>
    <row r="7" spans="1:14" ht="22">
      <c r="A7" s="31" t="s">
        <v>4</v>
      </c>
      <c r="B7" s="32" t="s">
        <v>403</v>
      </c>
      <c r="C7" s="32">
        <v>185</v>
      </c>
      <c r="D7" s="32">
        <v>600</v>
      </c>
      <c r="E7" s="32">
        <v>1</v>
      </c>
      <c r="F7" s="32">
        <f t="shared" si="0"/>
        <v>600</v>
      </c>
      <c r="G7" s="32">
        <v>600</v>
      </c>
      <c r="H7" s="32">
        <f t="shared" si="1"/>
        <v>0</v>
      </c>
      <c r="I7" s="9" t="str">
        <f>CONCATENATE(Table2[[#This Row],[Specs]],Table2[[#This Row],[Width]])</f>
        <v>ユポ80 MD 8GB185</v>
      </c>
      <c r="K7"/>
      <c r="L7"/>
      <c r="M7"/>
      <c r="N7"/>
    </row>
    <row r="8" spans="1:14" ht="22">
      <c r="A8" s="31" t="s">
        <v>5</v>
      </c>
      <c r="B8" s="32" t="s">
        <v>403</v>
      </c>
      <c r="C8" s="32">
        <v>205</v>
      </c>
      <c r="D8" s="32">
        <v>600</v>
      </c>
      <c r="E8" s="32">
        <v>1</v>
      </c>
      <c r="F8" s="32">
        <f t="shared" si="0"/>
        <v>600</v>
      </c>
      <c r="G8" s="32">
        <v>600</v>
      </c>
      <c r="H8" s="32">
        <f t="shared" si="1"/>
        <v>0</v>
      </c>
      <c r="I8" s="9" t="str">
        <f>CONCATENATE(Table2[[#This Row],[Specs]],Table2[[#This Row],[Width]])</f>
        <v>ユポ80 MD 8GB205</v>
      </c>
      <c r="K8"/>
      <c r="L8"/>
      <c r="M8"/>
      <c r="N8"/>
    </row>
    <row r="9" spans="1:14" ht="22">
      <c r="A9" s="31" t="s">
        <v>6</v>
      </c>
      <c r="B9" s="32" t="s">
        <v>403</v>
      </c>
      <c r="C9" s="32">
        <v>185</v>
      </c>
      <c r="D9" s="32">
        <v>600</v>
      </c>
      <c r="E9" s="32">
        <v>1</v>
      </c>
      <c r="F9" s="32">
        <f t="shared" si="0"/>
        <v>600</v>
      </c>
      <c r="G9" s="32">
        <v>600</v>
      </c>
      <c r="H9" s="32">
        <f t="shared" si="1"/>
        <v>0</v>
      </c>
      <c r="I9" s="9" t="str">
        <f>CONCATENATE(Table2[[#This Row],[Specs]],Table2[[#This Row],[Width]])</f>
        <v>ユポ80 MD 8GB185</v>
      </c>
      <c r="K9"/>
      <c r="L9"/>
      <c r="M9"/>
      <c r="N9"/>
    </row>
    <row r="10" spans="1:14" ht="22">
      <c r="A10" s="31" t="s">
        <v>7</v>
      </c>
      <c r="B10" s="32" t="s">
        <v>397</v>
      </c>
      <c r="C10" s="32">
        <v>150</v>
      </c>
      <c r="D10" s="32">
        <v>600</v>
      </c>
      <c r="E10" s="32">
        <v>1</v>
      </c>
      <c r="F10" s="32">
        <f t="shared" si="0"/>
        <v>600</v>
      </c>
      <c r="G10" s="32"/>
      <c r="H10" s="32">
        <f t="shared" si="1"/>
        <v>600</v>
      </c>
      <c r="I10" s="9" t="str">
        <f>CONCATENATE(Table2[[#This Row],[Specs]],Table2[[#This Row],[Width]])</f>
        <v>上質150</v>
      </c>
      <c r="K10"/>
      <c r="L10"/>
      <c r="M10"/>
      <c r="N10"/>
    </row>
    <row r="11" spans="1:14" ht="22">
      <c r="A11" s="31" t="s">
        <v>8</v>
      </c>
      <c r="B11" s="32" t="s">
        <v>403</v>
      </c>
      <c r="C11" s="32">
        <v>90</v>
      </c>
      <c r="D11" s="32">
        <v>600</v>
      </c>
      <c r="E11" s="32">
        <v>1</v>
      </c>
      <c r="F11" s="32">
        <f t="shared" si="0"/>
        <v>600</v>
      </c>
      <c r="G11" s="32">
        <v>400</v>
      </c>
      <c r="H11" s="32">
        <f t="shared" si="1"/>
        <v>200</v>
      </c>
      <c r="I11" s="9" t="str">
        <f>CONCATENATE(Table2[[#This Row],[Specs]],Table2[[#This Row],[Width]])</f>
        <v>ユポ80 MD 8GB90</v>
      </c>
      <c r="K11"/>
      <c r="L11"/>
      <c r="M11"/>
      <c r="N11"/>
    </row>
    <row r="12" spans="1:14">
      <c r="A12" s="31" t="s">
        <v>9</v>
      </c>
      <c r="B12" s="32" t="s">
        <v>403</v>
      </c>
      <c r="C12" s="32">
        <v>155</v>
      </c>
      <c r="D12" s="32">
        <v>600</v>
      </c>
      <c r="E12" s="32">
        <v>1</v>
      </c>
      <c r="F12" s="32">
        <f t="shared" si="0"/>
        <v>600</v>
      </c>
      <c r="G12" s="32">
        <v>0</v>
      </c>
      <c r="H12" s="32">
        <f t="shared" si="1"/>
        <v>600</v>
      </c>
      <c r="I12" s="9" t="str">
        <f>CONCATENATE(Table2[[#This Row],[Specs]],Table2[[#This Row],[Width]])</f>
        <v>ユポ80 MD 8GB155</v>
      </c>
    </row>
    <row r="13" spans="1:14">
      <c r="A13" s="31" t="s">
        <v>10</v>
      </c>
      <c r="B13" s="32" t="s">
        <v>403</v>
      </c>
      <c r="C13" s="32">
        <v>185</v>
      </c>
      <c r="D13" s="32">
        <v>600</v>
      </c>
      <c r="E13" s="32">
        <v>1</v>
      </c>
      <c r="F13" s="32">
        <f t="shared" si="0"/>
        <v>600</v>
      </c>
      <c r="G13" s="32">
        <v>600</v>
      </c>
      <c r="H13" s="32">
        <f t="shared" si="1"/>
        <v>0</v>
      </c>
      <c r="I13" s="9" t="str">
        <f>CONCATENATE(Table2[[#This Row],[Specs]],Table2[[#This Row],[Width]])</f>
        <v>ユポ80 MD 8GB185</v>
      </c>
    </row>
    <row r="14" spans="1:14">
      <c r="A14" s="31" t="s">
        <v>11</v>
      </c>
      <c r="B14" s="32" t="s">
        <v>404</v>
      </c>
      <c r="C14" s="32">
        <v>130</v>
      </c>
      <c r="D14" s="32">
        <v>600</v>
      </c>
      <c r="E14" s="32">
        <v>2</v>
      </c>
      <c r="F14" s="32">
        <f t="shared" si="0"/>
        <v>1200</v>
      </c>
      <c r="G14" s="32">
        <v>400</v>
      </c>
      <c r="H14" s="32">
        <f t="shared" si="1"/>
        <v>800</v>
      </c>
      <c r="I14" s="9" t="str">
        <f>CONCATENATE(Table2[[#This Row],[Specs]],Table2[[#This Row],[Width]])</f>
        <v>キャスト&lt;73&gt;ME80E130</v>
      </c>
    </row>
    <row r="15" spans="1:14">
      <c r="A15" s="31" t="s">
        <v>12</v>
      </c>
      <c r="B15" s="32" t="s">
        <v>403</v>
      </c>
      <c r="C15" s="32">
        <v>125</v>
      </c>
      <c r="D15" s="32">
        <v>600</v>
      </c>
      <c r="E15" s="32">
        <v>1</v>
      </c>
      <c r="F15" s="32">
        <f t="shared" si="0"/>
        <v>600</v>
      </c>
      <c r="G15" s="32">
        <v>400</v>
      </c>
      <c r="H15" s="32">
        <f t="shared" si="1"/>
        <v>200</v>
      </c>
      <c r="I15" s="9" t="str">
        <f>CONCATENATE(Table2[[#This Row],[Specs]],Table2[[#This Row],[Width]])</f>
        <v>ユポ80 MD 8GB125</v>
      </c>
    </row>
    <row r="16" spans="1:14">
      <c r="A16" s="31" t="s">
        <v>13</v>
      </c>
      <c r="B16" s="32" t="s">
        <v>403</v>
      </c>
      <c r="C16" s="32">
        <v>165</v>
      </c>
      <c r="D16" s="32">
        <v>600</v>
      </c>
      <c r="E16" s="32">
        <v>1</v>
      </c>
      <c r="F16" s="32">
        <f t="shared" si="0"/>
        <v>600</v>
      </c>
      <c r="G16" s="32">
        <v>600</v>
      </c>
      <c r="H16" s="32">
        <f t="shared" si="1"/>
        <v>0</v>
      </c>
      <c r="I16" s="9" t="str">
        <f>CONCATENATE(Table2[[#This Row],[Specs]],Table2[[#This Row],[Width]])</f>
        <v>ユポ80 MD 8GB165</v>
      </c>
    </row>
    <row r="17" spans="1:9">
      <c r="A17" s="31" t="s">
        <v>13</v>
      </c>
      <c r="B17" s="32" t="s">
        <v>403</v>
      </c>
      <c r="C17" s="32">
        <v>155</v>
      </c>
      <c r="D17" s="32">
        <v>600</v>
      </c>
      <c r="E17" s="32">
        <v>1</v>
      </c>
      <c r="F17" s="32">
        <f t="shared" si="0"/>
        <v>600</v>
      </c>
      <c r="G17" s="32">
        <v>600</v>
      </c>
      <c r="H17" s="32">
        <f t="shared" si="1"/>
        <v>0</v>
      </c>
      <c r="I17" s="9" t="str">
        <f>CONCATENATE(Table2[[#This Row],[Specs]],Table2[[#This Row],[Width]])</f>
        <v>ユポ80 MD 8GB155</v>
      </c>
    </row>
    <row r="18" spans="1:9">
      <c r="A18" s="31" t="s">
        <v>5</v>
      </c>
      <c r="B18" s="32" t="s">
        <v>403</v>
      </c>
      <c r="C18" s="32">
        <v>165</v>
      </c>
      <c r="D18" s="32">
        <v>600</v>
      </c>
      <c r="E18" s="32">
        <v>1</v>
      </c>
      <c r="F18" s="32">
        <f t="shared" si="0"/>
        <v>600</v>
      </c>
      <c r="G18" s="32">
        <f>580+20</f>
        <v>600</v>
      </c>
      <c r="H18" s="32">
        <f t="shared" si="1"/>
        <v>0</v>
      </c>
      <c r="I18" s="9" t="str">
        <f>CONCATENATE(Table2[[#This Row],[Specs]],Table2[[#This Row],[Width]])</f>
        <v>ユポ80 MD 8GB165</v>
      </c>
    </row>
    <row r="19" spans="1:9">
      <c r="A19" s="31" t="s">
        <v>8</v>
      </c>
      <c r="B19" s="32" t="s">
        <v>403</v>
      </c>
      <c r="C19" s="32">
        <v>90</v>
      </c>
      <c r="D19" s="32">
        <v>600</v>
      </c>
      <c r="E19" s="32">
        <v>1</v>
      </c>
      <c r="F19" s="32">
        <f t="shared" si="0"/>
        <v>600</v>
      </c>
      <c r="G19" s="32">
        <v>600</v>
      </c>
      <c r="H19" s="32">
        <f t="shared" si="1"/>
        <v>0</v>
      </c>
      <c r="I19" s="9" t="str">
        <f>CONCATENATE(Table2[[#This Row],[Specs]],Table2[[#This Row],[Width]])</f>
        <v>ユポ80 MD 8GB90</v>
      </c>
    </row>
    <row r="20" spans="1:9">
      <c r="A20" s="31" t="s">
        <v>7</v>
      </c>
      <c r="B20" s="32" t="s">
        <v>397</v>
      </c>
      <c r="C20" s="32">
        <v>150</v>
      </c>
      <c r="D20" s="32">
        <v>600</v>
      </c>
      <c r="E20" s="32">
        <v>1</v>
      </c>
      <c r="F20" s="32">
        <f>E20*D20</f>
        <v>600</v>
      </c>
      <c r="G20" s="32">
        <v>400</v>
      </c>
      <c r="H20" s="32">
        <f t="shared" si="1"/>
        <v>200</v>
      </c>
      <c r="I20" s="9" t="str">
        <f>CONCATENATE(Table2[[#This Row],[Specs]],Table2[[#This Row],[Width]])</f>
        <v>上質150</v>
      </c>
    </row>
    <row r="21" spans="1:9">
      <c r="A21" s="31" t="s">
        <v>14</v>
      </c>
      <c r="B21" s="32" t="s">
        <v>403</v>
      </c>
      <c r="C21" s="32">
        <v>165</v>
      </c>
      <c r="D21" s="32">
        <v>600</v>
      </c>
      <c r="E21" s="32">
        <v>1</v>
      </c>
      <c r="F21" s="32">
        <f t="shared" si="0"/>
        <v>600</v>
      </c>
      <c r="G21" s="32">
        <v>600</v>
      </c>
      <c r="H21" s="32">
        <f t="shared" si="1"/>
        <v>0</v>
      </c>
      <c r="I21" s="9" t="str">
        <f>CONCATENATE(Table2[[#This Row],[Specs]],Table2[[#This Row],[Width]])</f>
        <v>ユポ80 MD 8GB165</v>
      </c>
    </row>
    <row r="22" spans="1:9">
      <c r="A22" s="31" t="s">
        <v>14</v>
      </c>
      <c r="B22" s="32" t="s">
        <v>403</v>
      </c>
      <c r="C22" s="32">
        <v>125</v>
      </c>
      <c r="D22" s="32">
        <v>600</v>
      </c>
      <c r="E22" s="32">
        <v>1</v>
      </c>
      <c r="F22" s="32">
        <f t="shared" si="0"/>
        <v>600</v>
      </c>
      <c r="G22" s="32">
        <f>200+400</f>
        <v>600</v>
      </c>
      <c r="H22" s="32">
        <f t="shared" si="1"/>
        <v>0</v>
      </c>
      <c r="I22" s="9" t="str">
        <f>CONCATENATE(Table2[[#This Row],[Specs]],Table2[[#This Row],[Width]])</f>
        <v>ユポ80 MD 8GB125</v>
      </c>
    </row>
    <row r="23" spans="1:9">
      <c r="A23" s="31" t="s">
        <v>14</v>
      </c>
      <c r="B23" s="32" t="s">
        <v>403</v>
      </c>
      <c r="C23" s="32">
        <v>205</v>
      </c>
      <c r="D23" s="32">
        <v>600</v>
      </c>
      <c r="E23" s="32">
        <v>1</v>
      </c>
      <c r="F23" s="32">
        <f t="shared" si="0"/>
        <v>600</v>
      </c>
      <c r="G23" s="32">
        <v>600</v>
      </c>
      <c r="H23" s="32">
        <f t="shared" si="1"/>
        <v>0</v>
      </c>
      <c r="I23" s="9" t="str">
        <f>CONCATENATE(Table2[[#This Row],[Specs]],Table2[[#This Row],[Width]])</f>
        <v>ユポ80 MD 8GB205</v>
      </c>
    </row>
    <row r="24" spans="1:9">
      <c r="A24" s="31" t="s">
        <v>14</v>
      </c>
      <c r="B24" s="32" t="s">
        <v>403</v>
      </c>
      <c r="C24" s="32">
        <v>165</v>
      </c>
      <c r="D24" s="32">
        <v>600</v>
      </c>
      <c r="E24" s="32">
        <v>1</v>
      </c>
      <c r="F24" s="32">
        <f t="shared" si="0"/>
        <v>600</v>
      </c>
      <c r="G24" s="32">
        <v>600</v>
      </c>
      <c r="H24" s="32">
        <f t="shared" si="1"/>
        <v>0</v>
      </c>
      <c r="I24" s="9" t="str">
        <f>CONCATENATE(Table2[[#This Row],[Specs]],Table2[[#This Row],[Width]])</f>
        <v>ユポ80 MD 8GB165</v>
      </c>
    </row>
    <row r="25" spans="1:9">
      <c r="A25" s="31" t="s">
        <v>14</v>
      </c>
      <c r="B25" s="32" t="s">
        <v>403</v>
      </c>
      <c r="C25" s="32">
        <v>125</v>
      </c>
      <c r="D25" s="32">
        <v>600</v>
      </c>
      <c r="E25" s="32">
        <v>1</v>
      </c>
      <c r="F25" s="32">
        <f t="shared" si="0"/>
        <v>600</v>
      </c>
      <c r="G25" s="32">
        <v>600</v>
      </c>
      <c r="H25" s="32">
        <f t="shared" si="1"/>
        <v>0</v>
      </c>
      <c r="I25" s="9" t="str">
        <f>CONCATENATE(Table2[[#This Row],[Specs]],Table2[[#This Row],[Width]])</f>
        <v>ユポ80 MD 8GB125</v>
      </c>
    </row>
    <row r="26" spans="1:9">
      <c r="A26" s="31" t="s">
        <v>405</v>
      </c>
      <c r="B26" s="32" t="s">
        <v>397</v>
      </c>
      <c r="C26" s="32">
        <v>125</v>
      </c>
      <c r="D26" s="32">
        <v>600</v>
      </c>
      <c r="E26" s="32">
        <v>1</v>
      </c>
      <c r="F26" s="32">
        <f t="shared" si="0"/>
        <v>600</v>
      </c>
      <c r="G26" s="32"/>
      <c r="H26" s="32">
        <v>9</v>
      </c>
      <c r="I26" s="9" t="str">
        <f>CONCATENATE(Table2[[#This Row],[Specs]],Table2[[#This Row],[Width]])</f>
        <v>上質125</v>
      </c>
    </row>
    <row r="27" spans="1:9">
      <c r="A27" s="31" t="s">
        <v>405</v>
      </c>
      <c r="B27" s="32" t="s">
        <v>403</v>
      </c>
      <c r="C27" s="32">
        <v>140</v>
      </c>
      <c r="D27" s="32">
        <v>600</v>
      </c>
      <c r="E27" s="32">
        <v>1</v>
      </c>
      <c r="F27" s="32">
        <f t="shared" si="0"/>
        <v>600</v>
      </c>
      <c r="G27" s="32">
        <v>600</v>
      </c>
      <c r="H27" s="32">
        <f t="shared" si="1"/>
        <v>0</v>
      </c>
      <c r="I27" s="9" t="str">
        <f>CONCATENATE(Table2[[#This Row],[Specs]],Table2[[#This Row],[Width]])</f>
        <v>ユポ80 MD 8GB140</v>
      </c>
    </row>
    <row r="28" spans="1:9">
      <c r="A28" s="31" t="s">
        <v>405</v>
      </c>
      <c r="B28" s="32" t="s">
        <v>403</v>
      </c>
      <c r="C28" s="32">
        <v>125</v>
      </c>
      <c r="D28" s="32">
        <v>600</v>
      </c>
      <c r="E28" s="32">
        <v>1</v>
      </c>
      <c r="F28" s="32">
        <f t="shared" si="0"/>
        <v>600</v>
      </c>
      <c r="G28" s="32">
        <v>600</v>
      </c>
      <c r="H28" s="32">
        <f t="shared" si="1"/>
        <v>0</v>
      </c>
      <c r="I28" s="9" t="str">
        <f>CONCATENATE(Table2[[#This Row],[Specs]],Table2[[#This Row],[Width]])</f>
        <v>ユポ80 MD 8GB125</v>
      </c>
    </row>
    <row r="29" spans="1:9">
      <c r="A29" s="31" t="s">
        <v>405</v>
      </c>
      <c r="B29" s="32" t="s">
        <v>403</v>
      </c>
      <c r="C29" s="32">
        <v>125</v>
      </c>
      <c r="D29" s="32">
        <v>600</v>
      </c>
      <c r="E29" s="32">
        <v>1</v>
      </c>
      <c r="F29" s="32">
        <f t="shared" si="0"/>
        <v>600</v>
      </c>
      <c r="G29" s="32">
        <v>600</v>
      </c>
      <c r="H29" s="32">
        <f t="shared" si="1"/>
        <v>0</v>
      </c>
      <c r="I29" s="9" t="str">
        <f>CONCATENATE(Table2[[#This Row],[Specs]],Table2[[#This Row],[Width]])</f>
        <v>ユポ80 MD 8GB125</v>
      </c>
    </row>
    <row r="30" spans="1:9">
      <c r="A30" s="31" t="s">
        <v>200</v>
      </c>
      <c r="B30" s="32" t="s">
        <v>281</v>
      </c>
      <c r="C30" s="32">
        <v>90</v>
      </c>
      <c r="D30" s="32">
        <v>300</v>
      </c>
      <c r="E30" s="32">
        <v>1</v>
      </c>
      <c r="F30" s="32">
        <f t="shared" ref="F30:F64" si="2">E30*D30</f>
        <v>300</v>
      </c>
      <c r="G30" s="32"/>
      <c r="H30" s="32">
        <f t="shared" si="1"/>
        <v>300</v>
      </c>
      <c r="I30" s="9" t="str">
        <f>CONCATENATE(Table2[[#This Row],[Specs]],Table2[[#This Row],[Width]])</f>
        <v>PET50Sマット MP1 110HS90</v>
      </c>
    </row>
    <row r="31" spans="1:9">
      <c r="A31" s="31" t="s">
        <v>201</v>
      </c>
      <c r="B31" s="32" t="s">
        <v>403</v>
      </c>
      <c r="C31" s="32">
        <v>165</v>
      </c>
      <c r="D31" s="32">
        <v>600</v>
      </c>
      <c r="E31" s="32">
        <v>1</v>
      </c>
      <c r="F31" s="32">
        <f t="shared" si="2"/>
        <v>600</v>
      </c>
      <c r="G31" s="32">
        <v>600</v>
      </c>
      <c r="H31" s="32">
        <f t="shared" si="1"/>
        <v>0</v>
      </c>
      <c r="I31" s="9" t="str">
        <f>CONCATENATE(Table2[[#This Row],[Specs]],Table2[[#This Row],[Width]])</f>
        <v>ユポ80 MD 8GB165</v>
      </c>
    </row>
    <row r="32" spans="1:9">
      <c r="A32" s="31" t="s">
        <v>202</v>
      </c>
      <c r="B32" s="32" t="s">
        <v>281</v>
      </c>
      <c r="C32" s="32">
        <v>90</v>
      </c>
      <c r="D32" s="32">
        <v>300</v>
      </c>
      <c r="E32" s="32">
        <v>1</v>
      </c>
      <c r="F32" s="32">
        <f t="shared" si="2"/>
        <v>300</v>
      </c>
      <c r="G32" s="32"/>
      <c r="H32" s="32">
        <f t="shared" si="1"/>
        <v>300</v>
      </c>
      <c r="I32" s="9" t="str">
        <f>CONCATENATE(Table2[[#This Row],[Specs]],Table2[[#This Row],[Width]])</f>
        <v>PET50Sマット MP1 110HS90</v>
      </c>
    </row>
    <row r="33" spans="1:9">
      <c r="A33" s="31" t="s">
        <v>203</v>
      </c>
      <c r="B33" s="32" t="s">
        <v>281</v>
      </c>
      <c r="C33" s="32">
        <v>90</v>
      </c>
      <c r="D33" s="32">
        <v>200</v>
      </c>
      <c r="E33" s="32">
        <v>1</v>
      </c>
      <c r="F33" s="32">
        <f t="shared" si="2"/>
        <v>200</v>
      </c>
      <c r="G33" s="32"/>
      <c r="H33" s="32">
        <f t="shared" si="1"/>
        <v>200</v>
      </c>
      <c r="I33" s="9" t="str">
        <f>CONCATENATE(Table2[[#This Row],[Specs]],Table2[[#This Row],[Width]])</f>
        <v>PET50Sマット MP1 110HS90</v>
      </c>
    </row>
    <row r="34" spans="1:9">
      <c r="A34" s="31" t="s">
        <v>405</v>
      </c>
      <c r="B34" s="32" t="s">
        <v>404</v>
      </c>
      <c r="C34" s="32">
        <v>130</v>
      </c>
      <c r="D34" s="32">
        <v>600</v>
      </c>
      <c r="E34" s="32">
        <v>1</v>
      </c>
      <c r="F34" s="32">
        <f t="shared" si="2"/>
        <v>600</v>
      </c>
      <c r="G34" s="32">
        <v>570</v>
      </c>
      <c r="H34" s="32">
        <f t="shared" si="1"/>
        <v>30</v>
      </c>
      <c r="I34" s="9" t="str">
        <f>CONCATENATE(Table2[[#This Row],[Specs]],Table2[[#This Row],[Width]])</f>
        <v>キャスト&lt;73&gt;ME80E130</v>
      </c>
    </row>
    <row r="35" spans="1:9">
      <c r="A35" s="31" t="s">
        <v>405</v>
      </c>
      <c r="B35" s="32" t="s">
        <v>281</v>
      </c>
      <c r="C35" s="32">
        <v>90</v>
      </c>
      <c r="D35" s="32">
        <v>200</v>
      </c>
      <c r="E35" s="32">
        <v>1</v>
      </c>
      <c r="F35" s="32">
        <f t="shared" si="2"/>
        <v>200</v>
      </c>
      <c r="G35" s="32">
        <v>180</v>
      </c>
      <c r="H35" s="32">
        <f t="shared" si="1"/>
        <v>20</v>
      </c>
      <c r="I35" s="9" t="str">
        <f>CONCATENATE(Table2[[#This Row],[Specs]],Table2[[#This Row],[Width]])</f>
        <v>PET50Sマット MP1 110HS90</v>
      </c>
    </row>
    <row r="36" spans="1:9">
      <c r="A36" s="31" t="s">
        <v>405</v>
      </c>
      <c r="B36" s="32" t="s">
        <v>281</v>
      </c>
      <c r="C36" s="32">
        <v>90</v>
      </c>
      <c r="D36" s="32">
        <v>200</v>
      </c>
      <c r="E36" s="32">
        <v>1</v>
      </c>
      <c r="F36" s="32">
        <f>E36*D36</f>
        <v>200</v>
      </c>
      <c r="G36" s="32">
        <v>70</v>
      </c>
      <c r="H36" s="32">
        <f t="shared" si="1"/>
        <v>130</v>
      </c>
      <c r="I36" s="9" t="str">
        <f>CONCATENATE(Table2[[#This Row],[Specs]],Table2[[#This Row],[Width]])</f>
        <v>PET50Sマット MP1 110HS90</v>
      </c>
    </row>
    <row r="37" spans="1:9">
      <c r="A37" s="31" t="s">
        <v>405</v>
      </c>
      <c r="B37" s="32" t="s">
        <v>403</v>
      </c>
      <c r="C37" s="32">
        <v>90</v>
      </c>
      <c r="D37" s="32">
        <v>600</v>
      </c>
      <c r="E37" s="32">
        <v>1</v>
      </c>
      <c r="F37" s="32">
        <f t="shared" si="2"/>
        <v>600</v>
      </c>
      <c r="G37" s="32">
        <v>600</v>
      </c>
      <c r="H37" s="32">
        <f t="shared" si="1"/>
        <v>0</v>
      </c>
      <c r="I37" s="9" t="str">
        <f>CONCATENATE(Table2[[#This Row],[Specs]],Table2[[#This Row],[Width]])</f>
        <v>ユポ80 MD 8GB90</v>
      </c>
    </row>
    <row r="38" spans="1:9">
      <c r="A38" s="31" t="s">
        <v>405</v>
      </c>
      <c r="B38" s="32" t="s">
        <v>404</v>
      </c>
      <c r="C38" s="32">
        <v>90</v>
      </c>
      <c r="D38" s="32">
        <v>600</v>
      </c>
      <c r="E38" s="32">
        <v>1</v>
      </c>
      <c r="F38" s="32">
        <f t="shared" si="2"/>
        <v>600</v>
      </c>
      <c r="G38" s="32">
        <v>600</v>
      </c>
      <c r="H38" s="32">
        <f t="shared" si="1"/>
        <v>0</v>
      </c>
      <c r="I38" s="9" t="str">
        <f>CONCATENATE(Table2[[#This Row],[Specs]],Table2[[#This Row],[Width]])</f>
        <v>キャスト&lt;73&gt;ME80E90</v>
      </c>
    </row>
    <row r="39" spans="1:9">
      <c r="A39" s="31" t="s">
        <v>405</v>
      </c>
      <c r="B39" s="32" t="s">
        <v>403</v>
      </c>
      <c r="C39" s="32">
        <v>90</v>
      </c>
      <c r="D39" s="32">
        <v>600</v>
      </c>
      <c r="E39" s="32">
        <v>1</v>
      </c>
      <c r="F39" s="32">
        <f>E39*D39</f>
        <v>600</v>
      </c>
      <c r="G39" s="32">
        <v>600</v>
      </c>
      <c r="H39" s="32">
        <f t="shared" si="1"/>
        <v>0</v>
      </c>
      <c r="I39" s="9" t="str">
        <f>CONCATENATE(Table2[[#This Row],[Specs]],Table2[[#This Row],[Width]])</f>
        <v>ユポ80 MD 8GB90</v>
      </c>
    </row>
    <row r="40" spans="1:9">
      <c r="A40" s="31" t="s">
        <v>405</v>
      </c>
      <c r="B40" s="32" t="s">
        <v>404</v>
      </c>
      <c r="C40" s="32">
        <v>90</v>
      </c>
      <c r="D40" s="32">
        <v>600</v>
      </c>
      <c r="E40" s="32">
        <v>1</v>
      </c>
      <c r="F40" s="32">
        <f>E40*D40</f>
        <v>600</v>
      </c>
      <c r="G40" s="32">
        <v>600</v>
      </c>
      <c r="H40" s="32">
        <f t="shared" si="1"/>
        <v>0</v>
      </c>
      <c r="I40" s="9" t="str">
        <f>CONCATENATE(Table2[[#This Row],[Specs]],Table2[[#This Row],[Width]])</f>
        <v>キャスト&lt;73&gt;ME80E90</v>
      </c>
    </row>
    <row r="41" spans="1:9">
      <c r="A41" s="31" t="s">
        <v>405</v>
      </c>
      <c r="B41" s="32" t="s">
        <v>398</v>
      </c>
      <c r="C41" s="32">
        <v>90</v>
      </c>
      <c r="D41" s="32">
        <v>100</v>
      </c>
      <c r="E41" s="32">
        <v>1</v>
      </c>
      <c r="F41" s="32">
        <f t="shared" si="2"/>
        <v>100</v>
      </c>
      <c r="G41" s="32"/>
      <c r="H41" s="32">
        <f t="shared" si="1"/>
        <v>100</v>
      </c>
      <c r="I41" s="9" t="str">
        <f>CONCATENATE(Table2[[#This Row],[Specs]],Table2[[#This Row],[Width]])</f>
        <v>上質55 ME 80E90</v>
      </c>
    </row>
    <row r="42" spans="1:9">
      <c r="A42" s="31" t="s">
        <v>405</v>
      </c>
      <c r="B42" s="32" t="s">
        <v>403</v>
      </c>
      <c r="C42" s="32">
        <v>90</v>
      </c>
      <c r="D42" s="32">
        <v>600</v>
      </c>
      <c r="E42" s="32">
        <v>1</v>
      </c>
      <c r="F42" s="32">
        <f>E42*D42</f>
        <v>600</v>
      </c>
      <c r="G42" s="32">
        <v>600</v>
      </c>
      <c r="H42" s="32">
        <f t="shared" si="1"/>
        <v>0</v>
      </c>
      <c r="I42" s="9" t="str">
        <f>CONCATENATE(Table2[[#This Row],[Specs]],Table2[[#This Row],[Width]])</f>
        <v>ユポ80 MD 8GB90</v>
      </c>
    </row>
    <row r="43" spans="1:9">
      <c r="A43" s="31" t="s">
        <v>405</v>
      </c>
      <c r="B43" s="32" t="s">
        <v>397</v>
      </c>
      <c r="C43" s="32">
        <v>90</v>
      </c>
      <c r="D43" s="32">
        <v>600</v>
      </c>
      <c r="E43" s="32">
        <v>1</v>
      </c>
      <c r="F43" s="32">
        <f t="shared" si="2"/>
        <v>600</v>
      </c>
      <c r="G43" s="32">
        <v>500</v>
      </c>
      <c r="H43" s="32">
        <f t="shared" si="1"/>
        <v>100</v>
      </c>
      <c r="I43" s="9" t="str">
        <f>CONCATENATE(Table2[[#This Row],[Specs]],Table2[[#This Row],[Width]])</f>
        <v>上質90</v>
      </c>
    </row>
    <row r="44" spans="1:9">
      <c r="A44" s="31" t="s">
        <v>405</v>
      </c>
      <c r="B44" s="32" t="s">
        <v>397</v>
      </c>
      <c r="C44" s="32">
        <v>90</v>
      </c>
      <c r="D44" s="32">
        <v>600</v>
      </c>
      <c r="E44" s="32">
        <v>1</v>
      </c>
      <c r="F44" s="32">
        <f>E44*D44</f>
        <v>600</v>
      </c>
      <c r="G44" s="32">
        <v>480</v>
      </c>
      <c r="H44" s="32">
        <f t="shared" si="1"/>
        <v>120</v>
      </c>
      <c r="I44" s="9" t="str">
        <f>CONCATENATE(Table2[[#This Row],[Specs]],Table2[[#This Row],[Width]])</f>
        <v>上質90</v>
      </c>
    </row>
    <row r="45" spans="1:9">
      <c r="A45" s="31" t="s">
        <v>405</v>
      </c>
      <c r="B45" s="32" t="s">
        <v>397</v>
      </c>
      <c r="C45" s="32">
        <v>90</v>
      </c>
      <c r="D45" s="32">
        <v>600</v>
      </c>
      <c r="E45" s="32">
        <v>1</v>
      </c>
      <c r="F45" s="32">
        <f>E45*D45</f>
        <v>600</v>
      </c>
      <c r="G45" s="32">
        <v>300</v>
      </c>
      <c r="H45" s="32">
        <f t="shared" si="1"/>
        <v>300</v>
      </c>
      <c r="I45" s="9" t="str">
        <f>CONCATENATE(Table2[[#This Row],[Specs]],Table2[[#This Row],[Width]])</f>
        <v>上質90</v>
      </c>
    </row>
    <row r="46" spans="1:9">
      <c r="A46" s="31" t="s">
        <v>405</v>
      </c>
      <c r="B46" s="32" t="s">
        <v>397</v>
      </c>
      <c r="C46" s="32">
        <v>90</v>
      </c>
      <c r="D46" s="32">
        <v>600</v>
      </c>
      <c r="E46" s="32">
        <v>1</v>
      </c>
      <c r="F46" s="32">
        <f>E46*D46</f>
        <v>600</v>
      </c>
      <c r="G46" s="32">
        <v>580</v>
      </c>
      <c r="H46" s="32">
        <f t="shared" si="1"/>
        <v>20</v>
      </c>
      <c r="I46" s="9" t="str">
        <f>CONCATENATE(Table2[[#This Row],[Specs]],Table2[[#This Row],[Width]])</f>
        <v>上質90</v>
      </c>
    </row>
    <row r="47" spans="1:9">
      <c r="A47" s="31" t="s">
        <v>205</v>
      </c>
      <c r="B47" s="32" t="s">
        <v>206</v>
      </c>
      <c r="C47" s="32">
        <v>135</v>
      </c>
      <c r="D47" s="32">
        <v>60</v>
      </c>
      <c r="E47" s="32">
        <v>1</v>
      </c>
      <c r="F47" s="32">
        <f t="shared" si="2"/>
        <v>60</v>
      </c>
      <c r="G47" s="32"/>
      <c r="H47" s="32">
        <f t="shared" si="1"/>
        <v>60</v>
      </c>
      <c r="I47" s="9" t="str">
        <f>CONCATENATE(Table2[[#This Row],[Specs]],Table2[[#This Row],[Width]])</f>
        <v>IJPマットコート135</v>
      </c>
    </row>
    <row r="48" spans="1:9">
      <c r="A48" s="31" t="s">
        <v>405</v>
      </c>
      <c r="B48" s="32" t="s">
        <v>403</v>
      </c>
      <c r="C48" s="32">
        <v>205</v>
      </c>
      <c r="D48" s="32">
        <v>600</v>
      </c>
      <c r="E48" s="32">
        <v>1</v>
      </c>
      <c r="F48" s="32">
        <f t="shared" si="2"/>
        <v>600</v>
      </c>
      <c r="G48" s="32">
        <v>600</v>
      </c>
      <c r="H48" s="32">
        <f t="shared" si="1"/>
        <v>0</v>
      </c>
      <c r="I48" s="9" t="str">
        <f>CONCATENATE(Table2[[#This Row],[Specs]],Table2[[#This Row],[Width]])</f>
        <v>ユポ80 MD 8GB205</v>
      </c>
    </row>
    <row r="49" spans="1:9">
      <c r="A49" s="31" t="s">
        <v>405</v>
      </c>
      <c r="B49" s="32" t="s">
        <v>281</v>
      </c>
      <c r="C49" s="32">
        <v>120</v>
      </c>
      <c r="D49" s="32">
        <v>400</v>
      </c>
      <c r="E49" s="32">
        <v>1</v>
      </c>
      <c r="F49" s="32">
        <f t="shared" si="2"/>
        <v>400</v>
      </c>
      <c r="G49" s="32">
        <v>400</v>
      </c>
      <c r="H49" s="32">
        <f t="shared" si="1"/>
        <v>0</v>
      </c>
      <c r="I49" s="9" t="str">
        <f>CONCATENATE(Table2[[#This Row],[Specs]],Table2[[#This Row],[Width]])</f>
        <v>PET50Sマット MP1 110HS120</v>
      </c>
    </row>
    <row r="50" spans="1:9">
      <c r="A50" s="31" t="s">
        <v>405</v>
      </c>
      <c r="B50" s="32" t="s">
        <v>403</v>
      </c>
      <c r="C50" s="32">
        <v>215</v>
      </c>
      <c r="D50" s="32">
        <v>600</v>
      </c>
      <c r="E50" s="32">
        <v>1</v>
      </c>
      <c r="F50" s="32">
        <f t="shared" si="2"/>
        <v>600</v>
      </c>
      <c r="G50" s="32">
        <v>600</v>
      </c>
      <c r="H50" s="32">
        <f t="shared" si="1"/>
        <v>0</v>
      </c>
      <c r="I50" s="9" t="str">
        <f>CONCATENATE(Table2[[#This Row],[Specs]],Table2[[#This Row],[Width]])</f>
        <v>ユポ80 MD 8GB215</v>
      </c>
    </row>
    <row r="51" spans="1:9">
      <c r="A51" s="31" t="s">
        <v>405</v>
      </c>
      <c r="B51" s="32" t="s">
        <v>406</v>
      </c>
      <c r="C51" s="32">
        <v>100</v>
      </c>
      <c r="D51" s="32">
        <v>200</v>
      </c>
      <c r="E51" s="32">
        <v>1</v>
      </c>
      <c r="F51" s="32">
        <f t="shared" si="2"/>
        <v>200</v>
      </c>
      <c r="G51" s="32">
        <v>200</v>
      </c>
      <c r="H51" s="32">
        <f t="shared" si="1"/>
        <v>0</v>
      </c>
      <c r="I51" s="9" t="str">
        <f>CONCATENATE(Table2[[#This Row],[Specs]],Table2[[#This Row],[Width]])</f>
        <v xml:space="preserve"> 上質&lt;55&gt;ME 7GB100</v>
      </c>
    </row>
    <row r="52" spans="1:9">
      <c r="A52" s="31" t="s">
        <v>405</v>
      </c>
      <c r="B52" s="32" t="s">
        <v>399</v>
      </c>
      <c r="C52" s="32">
        <v>100</v>
      </c>
      <c r="D52" s="32">
        <v>100</v>
      </c>
      <c r="E52" s="32">
        <v>1</v>
      </c>
      <c r="F52" s="32">
        <f t="shared" si="2"/>
        <v>100</v>
      </c>
      <c r="G52" s="32">
        <v>100</v>
      </c>
      <c r="H52" s="32">
        <f t="shared" si="1"/>
        <v>0</v>
      </c>
      <c r="I52" s="9" t="str">
        <f>CONCATENATE(Table2[[#This Row],[Specs]],Table2[[#This Row],[Width]])</f>
        <v>上質&lt;55&gt;PC 7GB100</v>
      </c>
    </row>
    <row r="53" spans="1:9">
      <c r="A53" s="31" t="s">
        <v>405</v>
      </c>
      <c r="B53" s="32" t="s">
        <v>399</v>
      </c>
      <c r="C53" s="32">
        <v>100</v>
      </c>
      <c r="D53" s="32">
        <v>600</v>
      </c>
      <c r="E53" s="32">
        <v>1</v>
      </c>
      <c r="F53" s="32">
        <f t="shared" si="2"/>
        <v>600</v>
      </c>
      <c r="G53" s="32">
        <v>585</v>
      </c>
      <c r="H53" s="32">
        <f t="shared" si="1"/>
        <v>15</v>
      </c>
      <c r="I53" s="9" t="str">
        <f>CONCATENATE(Table2[[#This Row],[Specs]],Table2[[#This Row],[Width]])</f>
        <v>上質&lt;55&gt;PC 7GB100</v>
      </c>
    </row>
    <row r="54" spans="1:9">
      <c r="A54" s="31" t="s">
        <v>405</v>
      </c>
      <c r="B54" s="32" t="s">
        <v>403</v>
      </c>
      <c r="C54" s="32">
        <v>125</v>
      </c>
      <c r="D54" s="32">
        <v>600</v>
      </c>
      <c r="E54" s="32">
        <v>1</v>
      </c>
      <c r="F54" s="32">
        <f t="shared" si="2"/>
        <v>600</v>
      </c>
      <c r="G54" s="32">
        <v>600</v>
      </c>
      <c r="H54" s="32">
        <f t="shared" si="1"/>
        <v>0</v>
      </c>
      <c r="I54" s="9" t="str">
        <f>CONCATENATE(Table2[[#This Row],[Specs]],Table2[[#This Row],[Width]])</f>
        <v>ユポ80 MD 8GB125</v>
      </c>
    </row>
    <row r="55" spans="1:9">
      <c r="A55" s="31" t="s">
        <v>405</v>
      </c>
      <c r="B55" s="32" t="s">
        <v>407</v>
      </c>
      <c r="C55" s="32">
        <v>175</v>
      </c>
      <c r="D55" s="32">
        <v>400</v>
      </c>
      <c r="E55" s="32">
        <v>1</v>
      </c>
      <c r="F55" s="32">
        <f t="shared" si="2"/>
        <v>400</v>
      </c>
      <c r="G55" s="32">
        <v>380</v>
      </c>
      <c r="H55" s="32">
        <f t="shared" si="1"/>
        <v>20</v>
      </c>
      <c r="I55" s="9" t="str">
        <f>CONCATENATE(Table2[[#This Row],[Specs]],Table2[[#This Row],[Width]])</f>
        <v xml:space="preserve"> 上質&lt;55&gt;ME 80E175</v>
      </c>
    </row>
    <row r="56" spans="1:9">
      <c r="A56" s="31" t="s">
        <v>405</v>
      </c>
      <c r="B56" s="32" t="s">
        <v>346</v>
      </c>
      <c r="C56" s="32">
        <v>40</v>
      </c>
      <c r="D56" s="32">
        <v>80</v>
      </c>
      <c r="E56" s="32">
        <v>1</v>
      </c>
      <c r="F56" s="32">
        <f t="shared" si="2"/>
        <v>80</v>
      </c>
      <c r="G56" s="32"/>
      <c r="H56" s="32">
        <f t="shared" si="1"/>
        <v>80</v>
      </c>
      <c r="I56" s="9" t="str">
        <f>CONCATENATE(Table2[[#This Row],[Specs]],Table2[[#This Row],[Width]])</f>
        <v>アート＜７３＞メモリー　訂正 80H40</v>
      </c>
    </row>
    <row r="57" spans="1:9">
      <c r="A57" s="31" t="s">
        <v>414</v>
      </c>
      <c r="B57" s="32" t="s">
        <v>346</v>
      </c>
      <c r="C57" s="32">
        <v>40</v>
      </c>
      <c r="D57" s="32">
        <v>80</v>
      </c>
      <c r="E57" s="32">
        <v>1</v>
      </c>
      <c r="F57" s="32">
        <f t="shared" si="2"/>
        <v>80</v>
      </c>
      <c r="G57" s="32"/>
      <c r="H57" s="32">
        <f t="shared" si="1"/>
        <v>80</v>
      </c>
      <c r="I57" s="9" t="str">
        <f>CONCATENATE(Table2[[#This Row],[Specs]],Table2[[#This Row],[Width]])</f>
        <v>アート＜７３＞メモリー　訂正 80H40</v>
      </c>
    </row>
    <row r="58" spans="1:9">
      <c r="A58" s="31" t="s">
        <v>405</v>
      </c>
      <c r="B58" s="32" t="s">
        <v>400</v>
      </c>
      <c r="C58" s="32">
        <v>160</v>
      </c>
      <c r="D58" s="32">
        <v>600</v>
      </c>
      <c r="E58" s="32">
        <v>1</v>
      </c>
      <c r="F58" s="32">
        <f t="shared" si="2"/>
        <v>600</v>
      </c>
      <c r="G58" s="32">
        <v>600</v>
      </c>
      <c r="H58" s="32">
        <f t="shared" si="1"/>
        <v>0</v>
      </c>
      <c r="I58" s="9" t="str">
        <f>CONCATENATE(Table2[[#This Row],[Specs]],Table2[[#This Row],[Width]])</f>
        <v>上質&lt;70&gt; ME 7GB160</v>
      </c>
    </row>
    <row r="59" spans="1:9">
      <c r="A59" s="31" t="s">
        <v>405</v>
      </c>
      <c r="B59" s="32" t="s">
        <v>403</v>
      </c>
      <c r="C59" s="32">
        <v>185</v>
      </c>
      <c r="D59" s="32">
        <v>600</v>
      </c>
      <c r="E59" s="32">
        <v>1</v>
      </c>
      <c r="F59" s="32">
        <f t="shared" si="2"/>
        <v>600</v>
      </c>
      <c r="G59" s="32">
        <v>600</v>
      </c>
      <c r="H59" s="32">
        <f t="shared" si="1"/>
        <v>0</v>
      </c>
      <c r="I59" s="9" t="str">
        <f>CONCATENATE(Table2[[#This Row],[Specs]],Table2[[#This Row],[Width]])</f>
        <v>ユポ80 MD 8GB185</v>
      </c>
    </row>
    <row r="60" spans="1:9">
      <c r="A60" s="31" t="s">
        <v>405</v>
      </c>
      <c r="B60" s="33" t="s">
        <v>403</v>
      </c>
      <c r="C60" s="32">
        <v>155</v>
      </c>
      <c r="D60" s="32">
        <v>600</v>
      </c>
      <c r="E60" s="32">
        <v>1</v>
      </c>
      <c r="F60" s="32">
        <f t="shared" si="2"/>
        <v>600</v>
      </c>
      <c r="G60" s="32">
        <f>560+40</f>
        <v>600</v>
      </c>
      <c r="H60" s="32">
        <f t="shared" si="1"/>
        <v>0</v>
      </c>
      <c r="I60" s="9" t="str">
        <f>CONCATENATE(Table2[[#This Row],[Specs]],Table2[[#This Row],[Width]])</f>
        <v>ユポ80 MD 8GB155</v>
      </c>
    </row>
    <row r="61" spans="1:9">
      <c r="A61" s="31" t="s">
        <v>405</v>
      </c>
      <c r="B61" s="32" t="s">
        <v>404</v>
      </c>
      <c r="C61" s="32">
        <v>90</v>
      </c>
      <c r="D61" s="32">
        <v>600</v>
      </c>
      <c r="E61" s="32">
        <v>1</v>
      </c>
      <c r="F61" s="32">
        <f t="shared" si="2"/>
        <v>600</v>
      </c>
      <c r="G61" s="32">
        <v>600</v>
      </c>
      <c r="H61" s="32">
        <f t="shared" si="1"/>
        <v>0</v>
      </c>
      <c r="I61" s="9" t="str">
        <f>CONCATENATE(Table2[[#This Row],[Specs]],Table2[[#This Row],[Width]])</f>
        <v>キャスト&lt;73&gt;ME80E90</v>
      </c>
    </row>
    <row r="62" spans="1:9">
      <c r="A62" s="31" t="s">
        <v>405</v>
      </c>
      <c r="B62" s="32" t="s">
        <v>403</v>
      </c>
      <c r="C62" s="32">
        <v>115</v>
      </c>
      <c r="D62" s="32">
        <v>600</v>
      </c>
      <c r="E62" s="32">
        <v>1</v>
      </c>
      <c r="F62" s="32">
        <f t="shared" si="2"/>
        <v>600</v>
      </c>
      <c r="G62" s="32">
        <v>600</v>
      </c>
      <c r="H62" s="32">
        <f t="shared" si="1"/>
        <v>0</v>
      </c>
      <c r="I62" s="9" t="str">
        <f>CONCATENATE(Table2[[#This Row],[Specs]],Table2[[#This Row],[Width]])</f>
        <v>ユポ80 MD 8GB115</v>
      </c>
    </row>
    <row r="63" spans="1:9">
      <c r="A63" s="31" t="s">
        <v>222</v>
      </c>
      <c r="B63" s="32" t="s">
        <v>403</v>
      </c>
      <c r="C63" s="32">
        <v>165</v>
      </c>
      <c r="D63" s="32">
        <v>600</v>
      </c>
      <c r="E63" s="32">
        <v>1</v>
      </c>
      <c r="F63" s="32">
        <f t="shared" si="2"/>
        <v>600</v>
      </c>
      <c r="G63" s="32">
        <v>600</v>
      </c>
      <c r="H63" s="32">
        <f t="shared" si="1"/>
        <v>0</v>
      </c>
      <c r="I63" s="9" t="str">
        <f>CONCATENATE(Table2[[#This Row],[Specs]],Table2[[#This Row],[Width]])</f>
        <v>ユポ80 MD 8GB165</v>
      </c>
    </row>
    <row r="64" spans="1:9">
      <c r="A64" s="31" t="s">
        <v>222</v>
      </c>
      <c r="B64" s="32" t="s">
        <v>403</v>
      </c>
      <c r="C64" s="32">
        <v>165</v>
      </c>
      <c r="D64" s="32">
        <v>600</v>
      </c>
      <c r="E64" s="32">
        <v>1</v>
      </c>
      <c r="F64" s="32">
        <f t="shared" si="2"/>
        <v>600</v>
      </c>
      <c r="G64" s="32">
        <v>600</v>
      </c>
      <c r="H64" s="32">
        <f t="shared" si="1"/>
        <v>0</v>
      </c>
      <c r="I64" s="9" t="str">
        <f>CONCATENATE(Table2[[#This Row],[Specs]],Table2[[#This Row],[Width]])</f>
        <v>ユポ80 MD 8GB165</v>
      </c>
    </row>
    <row r="65" spans="1:9">
      <c r="A65" s="31" t="s">
        <v>225</v>
      </c>
      <c r="B65" s="32" t="s">
        <v>403</v>
      </c>
      <c r="C65" s="32">
        <v>155</v>
      </c>
      <c r="D65" s="32">
        <v>600</v>
      </c>
      <c r="E65" s="32">
        <v>1</v>
      </c>
      <c r="F65" s="32">
        <f t="shared" ref="F65:F71" si="3">E65*D65</f>
        <v>600</v>
      </c>
      <c r="G65" s="32">
        <v>600</v>
      </c>
      <c r="H65" s="32">
        <f t="shared" ref="H65:H71" si="4">F65-G65</f>
        <v>0</v>
      </c>
      <c r="I65" s="9" t="str">
        <f>CONCATENATE(Table2[[#This Row],[Specs]],Table2[[#This Row],[Width]])</f>
        <v>ユポ80 MD 8GB155</v>
      </c>
    </row>
    <row r="66" spans="1:9">
      <c r="A66" s="31" t="s">
        <v>225</v>
      </c>
      <c r="B66" s="32" t="s">
        <v>403</v>
      </c>
      <c r="C66" s="32">
        <v>185</v>
      </c>
      <c r="D66" s="32">
        <v>600</v>
      </c>
      <c r="E66" s="32">
        <v>1</v>
      </c>
      <c r="F66" s="32">
        <f t="shared" si="3"/>
        <v>600</v>
      </c>
      <c r="G66" s="32">
        <v>600</v>
      </c>
      <c r="H66" s="32">
        <f t="shared" si="4"/>
        <v>0</v>
      </c>
      <c r="I66" s="9" t="str">
        <f>CONCATENATE(Table2[[#This Row],[Specs]],Table2[[#This Row],[Width]])</f>
        <v>ユポ80 MD 8GB185</v>
      </c>
    </row>
    <row r="67" spans="1:9">
      <c r="A67" s="31" t="s">
        <v>405</v>
      </c>
      <c r="B67" s="32" t="s">
        <v>403</v>
      </c>
      <c r="C67" s="32">
        <v>155</v>
      </c>
      <c r="D67" s="32">
        <v>600</v>
      </c>
      <c r="E67" s="32">
        <v>1</v>
      </c>
      <c r="F67" s="32">
        <f t="shared" si="3"/>
        <v>600</v>
      </c>
      <c r="G67" s="32">
        <v>600</v>
      </c>
      <c r="H67" s="32">
        <f t="shared" si="4"/>
        <v>0</v>
      </c>
      <c r="I67" s="9" t="str">
        <f>CONCATENATE(Table2[[#This Row],[Specs]],Table2[[#This Row],[Width]])</f>
        <v>ユポ80 MD 8GB155</v>
      </c>
    </row>
    <row r="68" spans="1:9">
      <c r="A68" s="31" t="s">
        <v>227</v>
      </c>
      <c r="B68" s="32" t="s">
        <v>403</v>
      </c>
      <c r="C68" s="32">
        <v>165</v>
      </c>
      <c r="D68" s="32">
        <v>600</v>
      </c>
      <c r="E68" s="32">
        <v>1</v>
      </c>
      <c r="F68" s="32">
        <f t="shared" si="3"/>
        <v>600</v>
      </c>
      <c r="G68" s="32">
        <v>600</v>
      </c>
      <c r="H68" s="32">
        <f t="shared" si="4"/>
        <v>0</v>
      </c>
      <c r="I68" s="9" t="str">
        <f>CONCATENATE(Table2[[#This Row],[Specs]],Table2[[#This Row],[Width]])</f>
        <v>ユポ80 MD 8GB165</v>
      </c>
    </row>
    <row r="69" spans="1:9">
      <c r="A69" s="31" t="s">
        <v>227</v>
      </c>
      <c r="B69" s="32" t="s">
        <v>403</v>
      </c>
      <c r="C69" s="32">
        <v>165</v>
      </c>
      <c r="D69" s="32">
        <v>600</v>
      </c>
      <c r="E69" s="32">
        <v>1</v>
      </c>
      <c r="F69" s="32">
        <f t="shared" si="3"/>
        <v>600</v>
      </c>
      <c r="G69" s="32">
        <v>600</v>
      </c>
      <c r="H69" s="32">
        <f t="shared" si="4"/>
        <v>0</v>
      </c>
      <c r="I69" s="9" t="str">
        <f>CONCATENATE(Table2[[#This Row],[Specs]],Table2[[#This Row],[Width]])</f>
        <v>ユポ80 MD 8GB165</v>
      </c>
    </row>
    <row r="70" spans="1:9">
      <c r="A70" s="31" t="s">
        <v>405</v>
      </c>
      <c r="B70" s="32" t="s">
        <v>403</v>
      </c>
      <c r="C70" s="32">
        <v>185</v>
      </c>
      <c r="D70" s="32">
        <v>600</v>
      </c>
      <c r="E70" s="32">
        <v>1</v>
      </c>
      <c r="F70" s="32">
        <f t="shared" si="3"/>
        <v>600</v>
      </c>
      <c r="G70" s="32">
        <v>600</v>
      </c>
      <c r="H70" s="32">
        <f t="shared" si="4"/>
        <v>0</v>
      </c>
      <c r="I70" s="9" t="str">
        <f>CONCATENATE(Table2[[#This Row],[Specs]],Table2[[#This Row],[Width]])</f>
        <v>ユポ80 MD 8GB185</v>
      </c>
    </row>
    <row r="71" spans="1:9">
      <c r="A71" s="31" t="s">
        <v>229</v>
      </c>
      <c r="B71" s="32" t="s">
        <v>404</v>
      </c>
      <c r="C71" s="32">
        <v>90</v>
      </c>
      <c r="D71" s="32">
        <v>600</v>
      </c>
      <c r="E71" s="32">
        <v>1</v>
      </c>
      <c r="F71" s="32">
        <f t="shared" si="3"/>
        <v>600</v>
      </c>
      <c r="G71" s="32">
        <v>600</v>
      </c>
      <c r="H71" s="32">
        <f t="shared" si="4"/>
        <v>0</v>
      </c>
      <c r="I71" s="9" t="str">
        <f>CONCATENATE(Table2[[#This Row],[Specs]],Table2[[#This Row],[Width]])</f>
        <v>キャスト&lt;73&gt;ME80E90</v>
      </c>
    </row>
    <row r="72" spans="1:9">
      <c r="A72" s="31" t="s">
        <v>228</v>
      </c>
      <c r="B72" s="32" t="s">
        <v>403</v>
      </c>
      <c r="C72" s="32">
        <v>165</v>
      </c>
      <c r="D72" s="32">
        <v>600</v>
      </c>
      <c r="E72" s="32">
        <v>1</v>
      </c>
      <c r="F72" s="32">
        <f t="shared" ref="F72:F78" si="5">E72*D72</f>
        <v>600</v>
      </c>
      <c r="G72" s="32">
        <v>600</v>
      </c>
      <c r="H72" s="32">
        <f t="shared" ref="H72:H78" si="6">F72-G72</f>
        <v>0</v>
      </c>
      <c r="I72" s="9" t="str">
        <f>CONCATENATE(Table2[[#This Row],[Specs]],Table2[[#This Row],[Width]])</f>
        <v>ユポ80 MD 8GB165</v>
      </c>
    </row>
    <row r="73" spans="1:9">
      <c r="A73" s="31" t="s">
        <v>228</v>
      </c>
      <c r="B73" s="32" t="s">
        <v>346</v>
      </c>
      <c r="C73" s="32">
        <v>40</v>
      </c>
      <c r="D73" s="32">
        <v>80</v>
      </c>
      <c r="E73" s="32">
        <v>1</v>
      </c>
      <c r="F73" s="32">
        <f t="shared" si="5"/>
        <v>80</v>
      </c>
      <c r="G73" s="32"/>
      <c r="H73" s="32">
        <f t="shared" si="6"/>
        <v>80</v>
      </c>
      <c r="I73" s="9" t="str">
        <f>CONCATENATE(Table2[[#This Row],[Specs]],Table2[[#This Row],[Width]])</f>
        <v>アート＜７３＞メモリー　訂正 80H40</v>
      </c>
    </row>
    <row r="74" spans="1:9">
      <c r="A74" s="31" t="s">
        <v>228</v>
      </c>
      <c r="B74" s="32" t="s">
        <v>346</v>
      </c>
      <c r="C74" s="32">
        <v>100</v>
      </c>
      <c r="D74" s="32">
        <v>400</v>
      </c>
      <c r="E74" s="32">
        <v>1</v>
      </c>
      <c r="F74" s="32">
        <f t="shared" si="5"/>
        <v>400</v>
      </c>
      <c r="G74" s="32">
        <v>320</v>
      </c>
      <c r="H74" s="32">
        <f t="shared" si="6"/>
        <v>80</v>
      </c>
      <c r="I74" s="9" t="str">
        <f>CONCATENATE(Table2[[#This Row],[Specs]],Table2[[#This Row],[Width]])</f>
        <v>アート＜７３＞メモリー　訂正 80H100</v>
      </c>
    </row>
    <row r="75" spans="1:9">
      <c r="A75" s="31" t="s">
        <v>231</v>
      </c>
      <c r="B75" s="32" t="s">
        <v>403</v>
      </c>
      <c r="C75" s="32">
        <v>165</v>
      </c>
      <c r="D75" s="32">
        <v>600</v>
      </c>
      <c r="E75" s="32">
        <v>1</v>
      </c>
      <c r="F75" s="32">
        <f t="shared" si="5"/>
        <v>600</v>
      </c>
      <c r="G75" s="32">
        <v>600</v>
      </c>
      <c r="H75" s="32">
        <f t="shared" si="6"/>
        <v>0</v>
      </c>
      <c r="I75" s="9" t="str">
        <f>CONCATENATE(Table2[[#This Row],[Specs]],Table2[[#This Row],[Width]])</f>
        <v>ユポ80 MD 8GB165</v>
      </c>
    </row>
    <row r="76" spans="1:9">
      <c r="A76" s="31" t="s">
        <v>231</v>
      </c>
      <c r="B76" s="32" t="s">
        <v>403</v>
      </c>
      <c r="C76" s="32">
        <v>165</v>
      </c>
      <c r="D76" s="32">
        <v>600</v>
      </c>
      <c r="E76" s="32">
        <v>1</v>
      </c>
      <c r="F76" s="32">
        <f t="shared" si="5"/>
        <v>600</v>
      </c>
      <c r="G76" s="32">
        <v>600</v>
      </c>
      <c r="H76" s="32">
        <f t="shared" si="6"/>
        <v>0</v>
      </c>
      <c r="I76" s="9" t="str">
        <f>CONCATENATE(Table2[[#This Row],[Specs]],Table2[[#This Row],[Width]])</f>
        <v>ユポ80 MD 8GB165</v>
      </c>
    </row>
    <row r="77" spans="1:9">
      <c r="A77" s="31" t="s">
        <v>231</v>
      </c>
      <c r="B77" s="32" t="s">
        <v>403</v>
      </c>
      <c r="C77" s="32">
        <v>165</v>
      </c>
      <c r="D77" s="32">
        <v>600</v>
      </c>
      <c r="E77" s="32">
        <v>1</v>
      </c>
      <c r="F77" s="32">
        <f t="shared" si="5"/>
        <v>600</v>
      </c>
      <c r="G77" s="32">
        <v>600</v>
      </c>
      <c r="H77" s="32">
        <f t="shared" si="6"/>
        <v>0</v>
      </c>
      <c r="I77" s="9" t="str">
        <f>CONCATENATE(Table2[[#This Row],[Specs]],Table2[[#This Row],[Width]])</f>
        <v>ユポ80 MD 8GB165</v>
      </c>
    </row>
    <row r="78" spans="1:9">
      <c r="A78" s="31" t="s">
        <v>405</v>
      </c>
      <c r="B78" s="32" t="s">
        <v>346</v>
      </c>
      <c r="C78" s="32">
        <v>100</v>
      </c>
      <c r="D78" s="32">
        <v>400</v>
      </c>
      <c r="E78" s="32">
        <v>1</v>
      </c>
      <c r="F78" s="32">
        <f t="shared" si="5"/>
        <v>400</v>
      </c>
      <c r="G78" s="32">
        <v>400</v>
      </c>
      <c r="H78" s="32">
        <f t="shared" si="6"/>
        <v>0</v>
      </c>
      <c r="I78" s="9" t="str">
        <f>CONCATENATE(Table2[[#This Row],[Specs]],Table2[[#This Row],[Width]])</f>
        <v>アート＜７３＞メモリー　訂正 80H100</v>
      </c>
    </row>
    <row r="79" spans="1:9">
      <c r="A79" s="31" t="s">
        <v>233</v>
      </c>
      <c r="B79" s="32" t="s">
        <v>403</v>
      </c>
      <c r="C79" s="32">
        <v>125</v>
      </c>
      <c r="D79" s="32">
        <v>600</v>
      </c>
      <c r="E79" s="32">
        <v>1</v>
      </c>
      <c r="F79" s="32">
        <f t="shared" ref="F79:F84" si="7">E79*D79</f>
        <v>600</v>
      </c>
      <c r="G79" s="32">
        <v>600</v>
      </c>
      <c r="H79" s="32">
        <f t="shared" ref="H79:H84" si="8">F79-G79</f>
        <v>0</v>
      </c>
      <c r="I79" s="9" t="str">
        <f>CONCATENATE(Table2[[#This Row],[Specs]],Table2[[#This Row],[Width]])</f>
        <v>ユポ80 MD 8GB125</v>
      </c>
    </row>
    <row r="80" spans="1:9">
      <c r="A80" s="31" t="s">
        <v>235</v>
      </c>
      <c r="B80" s="32" t="s">
        <v>403</v>
      </c>
      <c r="C80" s="32">
        <v>165</v>
      </c>
      <c r="D80" s="32">
        <v>600</v>
      </c>
      <c r="E80" s="32">
        <v>1</v>
      </c>
      <c r="F80" s="32">
        <f t="shared" si="7"/>
        <v>600</v>
      </c>
      <c r="G80" s="32">
        <v>600</v>
      </c>
      <c r="H80" s="32">
        <f t="shared" si="8"/>
        <v>0</v>
      </c>
      <c r="I80" s="9" t="str">
        <f>CONCATENATE(Table2[[#This Row],[Specs]],Table2[[#This Row],[Width]])</f>
        <v>ユポ80 MD 8GB165</v>
      </c>
    </row>
    <row r="81" spans="1:9">
      <c r="A81" s="31" t="s">
        <v>235</v>
      </c>
      <c r="B81" s="32" t="s">
        <v>403</v>
      </c>
      <c r="C81" s="32">
        <v>165</v>
      </c>
      <c r="D81" s="32">
        <v>600</v>
      </c>
      <c r="E81" s="32">
        <v>1</v>
      </c>
      <c r="F81" s="32">
        <f t="shared" si="7"/>
        <v>600</v>
      </c>
      <c r="G81" s="32">
        <v>600</v>
      </c>
      <c r="H81" s="32">
        <f t="shared" si="8"/>
        <v>0</v>
      </c>
      <c r="I81" s="9" t="str">
        <f>CONCATENATE(Table2[[#This Row],[Specs]],Table2[[#This Row],[Width]])</f>
        <v>ユポ80 MD 8GB165</v>
      </c>
    </row>
    <row r="82" spans="1:9">
      <c r="A82" s="34" t="s">
        <v>234</v>
      </c>
      <c r="B82" s="35" t="s">
        <v>403</v>
      </c>
      <c r="C82" s="35">
        <v>165</v>
      </c>
      <c r="D82" s="35">
        <v>600</v>
      </c>
      <c r="E82" s="35">
        <v>1</v>
      </c>
      <c r="F82" s="32">
        <f t="shared" si="7"/>
        <v>600</v>
      </c>
      <c r="G82" s="35">
        <v>600</v>
      </c>
      <c r="H82" s="32">
        <f t="shared" si="8"/>
        <v>0</v>
      </c>
      <c r="I82" s="9" t="str">
        <f>CONCATENATE(Table2[[#This Row],[Specs]],Table2[[#This Row],[Width]])</f>
        <v>ユポ80 MD 8GB165</v>
      </c>
    </row>
    <row r="83" spans="1:9">
      <c r="A83" s="34" t="s">
        <v>234</v>
      </c>
      <c r="B83" s="35" t="s">
        <v>403</v>
      </c>
      <c r="C83" s="35">
        <v>140</v>
      </c>
      <c r="D83" s="35">
        <v>600</v>
      </c>
      <c r="E83" s="35">
        <v>1</v>
      </c>
      <c r="F83" s="32">
        <f t="shared" si="7"/>
        <v>600</v>
      </c>
      <c r="G83" s="35">
        <v>600</v>
      </c>
      <c r="H83" s="32">
        <f t="shared" si="8"/>
        <v>0</v>
      </c>
      <c r="I83" s="9" t="str">
        <f>CONCATENATE(Table2[[#This Row],[Specs]],Table2[[#This Row],[Width]])</f>
        <v>ユポ80 MD 8GB140</v>
      </c>
    </row>
    <row r="84" spans="1:9">
      <c r="A84" s="31" t="s">
        <v>236</v>
      </c>
      <c r="B84" s="32" t="s">
        <v>404</v>
      </c>
      <c r="C84" s="32">
        <v>90</v>
      </c>
      <c r="D84" s="32">
        <v>600</v>
      </c>
      <c r="E84" s="32">
        <v>1</v>
      </c>
      <c r="F84" s="32">
        <f t="shared" si="7"/>
        <v>600</v>
      </c>
      <c r="G84" s="32">
        <v>600</v>
      </c>
      <c r="H84" s="32">
        <f t="shared" si="8"/>
        <v>0</v>
      </c>
      <c r="I84" s="9" t="str">
        <f>CONCATENATE(Table2[[#This Row],[Specs]],Table2[[#This Row],[Width]])</f>
        <v>キャスト&lt;73&gt;ME80E90</v>
      </c>
    </row>
    <row r="85" spans="1:9">
      <c r="A85" s="31" t="s">
        <v>237</v>
      </c>
      <c r="B85" s="32" t="s">
        <v>403</v>
      </c>
      <c r="C85" s="32">
        <v>140</v>
      </c>
      <c r="D85" s="32">
        <v>600</v>
      </c>
      <c r="E85" s="32">
        <v>1</v>
      </c>
      <c r="F85" s="32">
        <f t="shared" ref="F85:F91" si="9">E85*D85</f>
        <v>600</v>
      </c>
      <c r="G85" s="32">
        <v>600</v>
      </c>
      <c r="H85" s="32">
        <f t="shared" ref="H85:H91" si="10">F85-G85</f>
        <v>0</v>
      </c>
      <c r="I85" s="9" t="str">
        <f>CONCATENATE(Table2[[#This Row],[Specs]],Table2[[#This Row],[Width]])</f>
        <v>ユポ80 MD 8GB140</v>
      </c>
    </row>
    <row r="86" spans="1:9">
      <c r="A86" s="31" t="s">
        <v>239</v>
      </c>
      <c r="B86" s="32" t="s">
        <v>403</v>
      </c>
      <c r="C86" s="32">
        <v>165</v>
      </c>
      <c r="D86" s="32">
        <v>600</v>
      </c>
      <c r="E86" s="32">
        <v>1</v>
      </c>
      <c r="F86" s="32">
        <f t="shared" si="9"/>
        <v>600</v>
      </c>
      <c r="G86" s="32">
        <v>600</v>
      </c>
      <c r="H86" s="32">
        <f t="shared" si="10"/>
        <v>0</v>
      </c>
      <c r="I86" s="9" t="str">
        <f>CONCATENATE(Table2[[#This Row],[Specs]],Table2[[#This Row],[Width]])</f>
        <v>ユポ80 MD 8GB165</v>
      </c>
    </row>
    <row r="87" spans="1:9">
      <c r="A87" s="31" t="s">
        <v>239</v>
      </c>
      <c r="B87" s="32" t="s">
        <v>404</v>
      </c>
      <c r="C87" s="32">
        <v>90</v>
      </c>
      <c r="D87" s="32">
        <v>300</v>
      </c>
      <c r="E87" s="32">
        <v>1</v>
      </c>
      <c r="F87" s="32">
        <f t="shared" si="9"/>
        <v>300</v>
      </c>
      <c r="G87" s="32">
        <v>300</v>
      </c>
      <c r="H87" s="32">
        <f t="shared" si="10"/>
        <v>0</v>
      </c>
      <c r="I87" s="9" t="str">
        <f>CONCATENATE(Table2[[#This Row],[Specs]],Table2[[#This Row],[Width]])</f>
        <v>キャスト&lt;73&gt;ME80E90</v>
      </c>
    </row>
    <row r="88" spans="1:9">
      <c r="A88" s="31" t="s">
        <v>240</v>
      </c>
      <c r="B88" s="32" t="s">
        <v>404</v>
      </c>
      <c r="C88" s="32">
        <v>140</v>
      </c>
      <c r="D88" s="32">
        <v>300</v>
      </c>
      <c r="E88" s="32">
        <v>1</v>
      </c>
      <c r="F88" s="32">
        <f t="shared" si="9"/>
        <v>300</v>
      </c>
      <c r="G88" s="32">
        <v>10</v>
      </c>
      <c r="H88" s="32">
        <f t="shared" si="10"/>
        <v>290</v>
      </c>
      <c r="I88" s="9" t="str">
        <f>CONCATENATE(Table2[[#This Row],[Specs]],Table2[[#This Row],[Width]])</f>
        <v>キャスト&lt;73&gt;ME80E140</v>
      </c>
    </row>
    <row r="89" spans="1:9">
      <c r="A89" s="31" t="s">
        <v>241</v>
      </c>
      <c r="B89" s="32" t="s">
        <v>403</v>
      </c>
      <c r="C89" s="32">
        <v>165</v>
      </c>
      <c r="D89" s="32">
        <v>600</v>
      </c>
      <c r="E89" s="32">
        <v>1</v>
      </c>
      <c r="F89" s="32">
        <f t="shared" si="9"/>
        <v>600</v>
      </c>
      <c r="G89" s="32">
        <v>600</v>
      </c>
      <c r="H89" s="32">
        <f t="shared" si="10"/>
        <v>0</v>
      </c>
      <c r="I89" s="9" t="str">
        <f>CONCATENATE(Table2[[#This Row],[Specs]],Table2[[#This Row],[Width]])</f>
        <v>ユポ80 MD 8GB165</v>
      </c>
    </row>
    <row r="90" spans="1:9">
      <c r="A90" s="31" t="s">
        <v>241</v>
      </c>
      <c r="B90" s="32" t="s">
        <v>403</v>
      </c>
      <c r="C90" s="32">
        <v>215</v>
      </c>
      <c r="D90" s="32">
        <v>600</v>
      </c>
      <c r="E90" s="32">
        <v>1</v>
      </c>
      <c r="F90" s="32">
        <f t="shared" si="9"/>
        <v>600</v>
      </c>
      <c r="G90" s="32">
        <v>400</v>
      </c>
      <c r="H90" s="32">
        <f t="shared" si="10"/>
        <v>200</v>
      </c>
      <c r="I90" s="9" t="str">
        <f>CONCATENATE(Table2[[#This Row],[Specs]],Table2[[#This Row],[Width]])</f>
        <v>ユポ80 MD 8GB215</v>
      </c>
    </row>
    <row r="91" spans="1:9">
      <c r="A91" s="31" t="s">
        <v>243</v>
      </c>
      <c r="B91" s="32" t="s">
        <v>403</v>
      </c>
      <c r="C91" s="32">
        <v>155</v>
      </c>
      <c r="D91" s="32">
        <v>600</v>
      </c>
      <c r="E91" s="32">
        <v>1</v>
      </c>
      <c r="F91" s="32">
        <f t="shared" si="9"/>
        <v>600</v>
      </c>
      <c r="G91" s="32">
        <v>600</v>
      </c>
      <c r="H91" s="32">
        <f t="shared" si="10"/>
        <v>0</v>
      </c>
      <c r="I91" s="9" t="str">
        <f>CONCATENATE(Table2[[#This Row],[Specs]],Table2[[#This Row],[Width]])</f>
        <v>ユポ80 MD 8GB155</v>
      </c>
    </row>
    <row r="92" spans="1:9">
      <c r="A92" s="31" t="s">
        <v>243</v>
      </c>
      <c r="B92" s="32" t="s">
        <v>404</v>
      </c>
      <c r="C92" s="32">
        <v>90</v>
      </c>
      <c r="D92" s="32">
        <v>600</v>
      </c>
      <c r="E92" s="32">
        <v>1</v>
      </c>
      <c r="F92" s="32">
        <f t="shared" ref="F92:F97" si="11">E92*D92</f>
        <v>600</v>
      </c>
      <c r="G92" s="32">
        <v>600</v>
      </c>
      <c r="H92" s="32">
        <f t="shared" ref="H92:H97" si="12">F92-G92</f>
        <v>0</v>
      </c>
      <c r="I92" s="9" t="str">
        <f>CONCATENATE(Table2[[#This Row],[Specs]],Table2[[#This Row],[Width]])</f>
        <v>キャスト&lt;73&gt;ME80E90</v>
      </c>
    </row>
    <row r="93" spans="1:9">
      <c r="A93" s="31" t="s">
        <v>243</v>
      </c>
      <c r="B93" s="32" t="s">
        <v>404</v>
      </c>
      <c r="C93" s="32">
        <v>90</v>
      </c>
      <c r="D93" s="32">
        <v>600</v>
      </c>
      <c r="E93" s="32">
        <v>1</v>
      </c>
      <c r="F93" s="32">
        <f t="shared" si="11"/>
        <v>600</v>
      </c>
      <c r="G93" s="32">
        <v>600</v>
      </c>
      <c r="H93" s="32">
        <f t="shared" si="12"/>
        <v>0</v>
      </c>
      <c r="I93" s="9" t="str">
        <f>CONCATENATE(Table2[[#This Row],[Specs]],Table2[[#This Row],[Width]])</f>
        <v>キャスト&lt;73&gt;ME80E90</v>
      </c>
    </row>
    <row r="94" spans="1:9">
      <c r="A94" s="31" t="s">
        <v>243</v>
      </c>
      <c r="B94" s="32" t="s">
        <v>403</v>
      </c>
      <c r="C94" s="32">
        <v>165</v>
      </c>
      <c r="D94" s="32">
        <v>600</v>
      </c>
      <c r="E94" s="32">
        <v>1</v>
      </c>
      <c r="F94" s="32">
        <f t="shared" si="11"/>
        <v>600</v>
      </c>
      <c r="G94" s="32">
        <v>600</v>
      </c>
      <c r="H94" s="32">
        <f t="shared" si="12"/>
        <v>0</v>
      </c>
      <c r="I94" s="9" t="str">
        <f>CONCATENATE(Table2[[#This Row],[Specs]],Table2[[#This Row],[Width]])</f>
        <v>ユポ80 MD 8GB165</v>
      </c>
    </row>
    <row r="95" spans="1:9">
      <c r="A95" s="31" t="s">
        <v>243</v>
      </c>
      <c r="B95" s="32" t="s">
        <v>403</v>
      </c>
      <c r="C95" s="32">
        <v>155</v>
      </c>
      <c r="D95" s="32">
        <v>600</v>
      </c>
      <c r="E95" s="32">
        <v>1</v>
      </c>
      <c r="F95" s="32">
        <f t="shared" si="11"/>
        <v>600</v>
      </c>
      <c r="G95" s="32">
        <v>600</v>
      </c>
      <c r="H95" s="32">
        <f t="shared" si="12"/>
        <v>0</v>
      </c>
      <c r="I95" s="9" t="str">
        <f>CONCATENATE(Table2[[#This Row],[Specs]],Table2[[#This Row],[Width]])</f>
        <v>ユポ80 MD 8GB155</v>
      </c>
    </row>
    <row r="96" spans="1:9">
      <c r="A96" s="31" t="s">
        <v>243</v>
      </c>
      <c r="B96" s="32" t="s">
        <v>404</v>
      </c>
      <c r="C96" s="32">
        <v>90</v>
      </c>
      <c r="D96" s="32">
        <v>600</v>
      </c>
      <c r="E96" s="32">
        <v>1</v>
      </c>
      <c r="F96" s="32">
        <f t="shared" si="11"/>
        <v>600</v>
      </c>
      <c r="G96" s="32">
        <v>600</v>
      </c>
      <c r="H96" s="32">
        <f t="shared" si="12"/>
        <v>0</v>
      </c>
      <c r="I96" s="9" t="str">
        <f>CONCATENATE(Table2[[#This Row],[Specs]],Table2[[#This Row],[Width]])</f>
        <v>キャスト&lt;73&gt;ME80E90</v>
      </c>
    </row>
    <row r="97" spans="1:9">
      <c r="A97" s="31" t="s">
        <v>244</v>
      </c>
      <c r="B97" s="32" t="s">
        <v>403</v>
      </c>
      <c r="C97" s="32">
        <v>165</v>
      </c>
      <c r="D97" s="32">
        <v>600</v>
      </c>
      <c r="E97" s="32">
        <v>1</v>
      </c>
      <c r="F97" s="32">
        <f t="shared" si="11"/>
        <v>600</v>
      </c>
      <c r="G97" s="32">
        <v>600</v>
      </c>
      <c r="H97" s="32">
        <f t="shared" si="12"/>
        <v>0</v>
      </c>
      <c r="I97" s="9" t="str">
        <f>CONCATENATE(Table2[[#This Row],[Specs]],Table2[[#This Row],[Width]])</f>
        <v>ユポ80 MD 8GB165</v>
      </c>
    </row>
    <row r="98" spans="1:9">
      <c r="A98" s="31" t="s">
        <v>244</v>
      </c>
      <c r="B98" s="32" t="s">
        <v>403</v>
      </c>
      <c r="C98" s="32">
        <v>165</v>
      </c>
      <c r="D98" s="32">
        <v>600</v>
      </c>
      <c r="E98" s="32">
        <v>1</v>
      </c>
      <c r="F98" s="32">
        <f t="shared" ref="F98:F103" si="13">E98*D98</f>
        <v>600</v>
      </c>
      <c r="G98" s="32">
        <v>600</v>
      </c>
      <c r="H98" s="32">
        <f t="shared" ref="H98:H103" si="14">F98-G98</f>
        <v>0</v>
      </c>
      <c r="I98" s="9" t="str">
        <f>CONCATENATE(Table2[[#This Row],[Specs]],Table2[[#This Row],[Width]])</f>
        <v>ユポ80 MD 8GB165</v>
      </c>
    </row>
    <row r="99" spans="1:9">
      <c r="A99" s="31" t="s">
        <v>245</v>
      </c>
      <c r="B99" s="32" t="s">
        <v>403</v>
      </c>
      <c r="C99" s="32">
        <v>165</v>
      </c>
      <c r="D99" s="32">
        <v>600</v>
      </c>
      <c r="E99" s="32">
        <v>1</v>
      </c>
      <c r="F99" s="32">
        <f t="shared" si="13"/>
        <v>600</v>
      </c>
      <c r="G99" s="32">
        <v>600</v>
      </c>
      <c r="H99" s="32">
        <f t="shared" si="14"/>
        <v>0</v>
      </c>
      <c r="I99" s="9" t="str">
        <f>CONCATENATE(Table2[[#This Row],[Specs]],Table2[[#This Row],[Width]])</f>
        <v>ユポ80 MD 8GB165</v>
      </c>
    </row>
    <row r="100" spans="1:9">
      <c r="A100" s="31" t="s">
        <v>245</v>
      </c>
      <c r="B100" s="32" t="s">
        <v>403</v>
      </c>
      <c r="C100" s="32">
        <v>185</v>
      </c>
      <c r="D100" s="32">
        <v>600</v>
      </c>
      <c r="E100" s="32">
        <v>1</v>
      </c>
      <c r="F100" s="32">
        <f t="shared" si="13"/>
        <v>600</v>
      </c>
      <c r="G100" s="32">
        <v>600</v>
      </c>
      <c r="H100" s="32">
        <f t="shared" si="14"/>
        <v>0</v>
      </c>
      <c r="I100" s="9" t="str">
        <f>CONCATENATE(Table2[[#This Row],[Specs]],Table2[[#This Row],[Width]])</f>
        <v>ユポ80 MD 8GB185</v>
      </c>
    </row>
    <row r="101" spans="1:9">
      <c r="A101" s="31" t="s">
        <v>245</v>
      </c>
      <c r="B101" s="32" t="s">
        <v>403</v>
      </c>
      <c r="C101" s="32">
        <v>165</v>
      </c>
      <c r="D101" s="32">
        <v>600</v>
      </c>
      <c r="E101" s="32">
        <v>1</v>
      </c>
      <c r="F101" s="32">
        <f t="shared" si="13"/>
        <v>600</v>
      </c>
      <c r="G101" s="32">
        <v>600</v>
      </c>
      <c r="H101" s="32">
        <f t="shared" si="14"/>
        <v>0</v>
      </c>
      <c r="I101" s="9" t="str">
        <f>CONCATENATE(Table2[[#This Row],[Specs]],Table2[[#This Row],[Width]])</f>
        <v>ユポ80 MD 8GB165</v>
      </c>
    </row>
    <row r="102" spans="1:9">
      <c r="A102" s="31" t="s">
        <v>246</v>
      </c>
      <c r="B102" s="32" t="s">
        <v>408</v>
      </c>
      <c r="C102" s="32">
        <v>100</v>
      </c>
      <c r="D102" s="32">
        <v>500</v>
      </c>
      <c r="E102" s="32">
        <v>1</v>
      </c>
      <c r="F102" s="32">
        <f t="shared" si="13"/>
        <v>500</v>
      </c>
      <c r="G102" s="32"/>
      <c r="H102" s="32">
        <f t="shared" si="14"/>
        <v>500</v>
      </c>
      <c r="I102" s="9" t="str">
        <f>CONCATENATE(Table2[[#This Row],[Specs]],Table2[[#This Row],[Width]])</f>
        <v>SLアート/P91/g7B100</v>
      </c>
    </row>
    <row r="103" spans="1:9">
      <c r="A103" s="31" t="s">
        <v>409</v>
      </c>
      <c r="B103" s="32" t="s">
        <v>408</v>
      </c>
      <c r="C103" s="32">
        <v>100</v>
      </c>
      <c r="D103" s="32">
        <v>500</v>
      </c>
      <c r="E103" s="32">
        <v>1</v>
      </c>
      <c r="F103" s="32">
        <f t="shared" si="13"/>
        <v>500</v>
      </c>
      <c r="G103" s="32"/>
      <c r="H103" s="32">
        <f t="shared" si="14"/>
        <v>500</v>
      </c>
      <c r="I103" s="9" t="str">
        <f>CONCATENATE(Table2[[#This Row],[Specs]],Table2[[#This Row],[Width]])</f>
        <v>SLアート/P91/g7B100</v>
      </c>
    </row>
    <row r="104" spans="1:9">
      <c r="A104" s="31" t="s">
        <v>409</v>
      </c>
      <c r="B104" s="32" t="s">
        <v>408</v>
      </c>
      <c r="C104" s="32">
        <v>100</v>
      </c>
      <c r="D104" s="32">
        <v>350</v>
      </c>
      <c r="E104" s="32">
        <v>1</v>
      </c>
      <c r="F104" s="32">
        <f t="shared" ref="F104:F109" si="15">E104*D104</f>
        <v>350</v>
      </c>
      <c r="G104" s="32"/>
      <c r="H104" s="32">
        <f t="shared" ref="H104:H109" si="16">F104-G104</f>
        <v>350</v>
      </c>
      <c r="I104" s="9" t="str">
        <f>CONCATENATE(Table2[[#This Row],[Specs]],Table2[[#This Row],[Width]])</f>
        <v>SLアート/P91/g7B100</v>
      </c>
    </row>
    <row r="105" spans="1:9">
      <c r="A105" s="31" t="s">
        <v>409</v>
      </c>
      <c r="B105" s="32" t="s">
        <v>408</v>
      </c>
      <c r="C105" s="32">
        <v>100</v>
      </c>
      <c r="D105" s="32">
        <v>350</v>
      </c>
      <c r="E105" s="32">
        <v>1</v>
      </c>
      <c r="F105" s="32">
        <f t="shared" si="15"/>
        <v>350</v>
      </c>
      <c r="G105" s="32">
        <v>350</v>
      </c>
      <c r="H105" s="32">
        <f t="shared" si="16"/>
        <v>0</v>
      </c>
      <c r="I105" s="9" t="str">
        <f>CONCATENATE(Table2[[#This Row],[Specs]],Table2[[#This Row],[Width]])</f>
        <v>SLアート/P91/g7B100</v>
      </c>
    </row>
    <row r="106" spans="1:9">
      <c r="A106" s="31" t="s">
        <v>409</v>
      </c>
      <c r="B106" s="32" t="s">
        <v>408</v>
      </c>
      <c r="C106" s="32">
        <v>100</v>
      </c>
      <c r="D106" s="32">
        <v>350</v>
      </c>
      <c r="E106" s="32">
        <v>1</v>
      </c>
      <c r="F106" s="32">
        <f t="shared" si="15"/>
        <v>350</v>
      </c>
      <c r="G106" s="32">
        <v>250</v>
      </c>
      <c r="H106" s="32">
        <f t="shared" si="16"/>
        <v>100</v>
      </c>
      <c r="I106" s="9" t="str">
        <f>CONCATENATE(Table2[[#This Row],[Specs]],Table2[[#This Row],[Width]])</f>
        <v>SLアート/P91/g7B100</v>
      </c>
    </row>
    <row r="107" spans="1:9">
      <c r="A107" s="31" t="s">
        <v>248</v>
      </c>
      <c r="B107" s="32" t="s">
        <v>400</v>
      </c>
      <c r="C107" s="32">
        <v>90</v>
      </c>
      <c r="D107" s="32">
        <v>600</v>
      </c>
      <c r="E107" s="32">
        <v>1</v>
      </c>
      <c r="F107" s="32">
        <f t="shared" si="15"/>
        <v>600</v>
      </c>
      <c r="G107" s="32"/>
      <c r="H107" s="32">
        <f t="shared" si="16"/>
        <v>600</v>
      </c>
      <c r="I107" s="9" t="str">
        <f>CONCATENATE(Table2[[#This Row],[Specs]],Table2[[#This Row],[Width]])</f>
        <v>上質&lt;70&gt; ME 7GB90</v>
      </c>
    </row>
    <row r="108" spans="1:9">
      <c r="A108" s="31" t="s">
        <v>248</v>
      </c>
      <c r="B108" s="32" t="s">
        <v>400</v>
      </c>
      <c r="C108" s="32">
        <v>140</v>
      </c>
      <c r="D108" s="32">
        <v>600</v>
      </c>
      <c r="E108" s="32">
        <v>1</v>
      </c>
      <c r="F108" s="32">
        <f t="shared" si="15"/>
        <v>600</v>
      </c>
      <c r="G108" s="32">
        <v>80</v>
      </c>
      <c r="H108" s="32">
        <f t="shared" si="16"/>
        <v>520</v>
      </c>
      <c r="I108" s="9" t="str">
        <f>CONCATENATE(Table2[[#This Row],[Specs]],Table2[[#This Row],[Width]])</f>
        <v>上質&lt;70&gt; ME 7GB140</v>
      </c>
    </row>
    <row r="109" spans="1:9">
      <c r="A109" s="31" t="s">
        <v>250</v>
      </c>
      <c r="B109" s="32" t="s">
        <v>403</v>
      </c>
      <c r="C109" s="32">
        <v>185</v>
      </c>
      <c r="D109" s="32">
        <v>600</v>
      </c>
      <c r="E109" s="32">
        <v>1</v>
      </c>
      <c r="F109" s="32">
        <f t="shared" si="15"/>
        <v>600</v>
      </c>
      <c r="G109" s="32">
        <v>600</v>
      </c>
      <c r="H109" s="32">
        <f t="shared" si="16"/>
        <v>0</v>
      </c>
      <c r="I109" s="9" t="str">
        <f>CONCATENATE(Table2[[#This Row],[Specs]],Table2[[#This Row],[Width]])</f>
        <v>ユポ80 MD 8GB185</v>
      </c>
    </row>
    <row r="110" spans="1:9">
      <c r="A110" s="31" t="s">
        <v>251</v>
      </c>
      <c r="B110" s="32" t="s">
        <v>403</v>
      </c>
      <c r="C110" s="32">
        <v>165</v>
      </c>
      <c r="D110" s="32">
        <v>600</v>
      </c>
      <c r="E110" s="32">
        <v>1</v>
      </c>
      <c r="F110" s="32">
        <f t="shared" ref="F110:F117" si="17">E110*D110</f>
        <v>600</v>
      </c>
      <c r="G110" s="32">
        <v>600</v>
      </c>
      <c r="H110" s="32">
        <f t="shared" ref="H110:H117" si="18">F110-G110</f>
        <v>0</v>
      </c>
      <c r="I110" s="9" t="str">
        <f>CONCATENATE(Table2[[#This Row],[Specs]],Table2[[#This Row],[Width]])</f>
        <v>ユポ80 MD 8GB165</v>
      </c>
    </row>
    <row r="111" spans="1:9">
      <c r="A111" s="31" t="s">
        <v>251</v>
      </c>
      <c r="B111" s="32" t="s">
        <v>403</v>
      </c>
      <c r="C111" s="32">
        <v>165</v>
      </c>
      <c r="D111" s="32">
        <v>600</v>
      </c>
      <c r="E111" s="32">
        <v>1</v>
      </c>
      <c r="F111" s="32">
        <f t="shared" si="17"/>
        <v>600</v>
      </c>
      <c r="G111" s="32">
        <v>600</v>
      </c>
      <c r="H111" s="32">
        <f t="shared" si="18"/>
        <v>0</v>
      </c>
      <c r="I111" s="9" t="str">
        <f>CONCATENATE(Table2[[#This Row],[Specs]],Table2[[#This Row],[Width]])</f>
        <v>ユポ80 MD 8GB165</v>
      </c>
    </row>
    <row r="112" spans="1:9">
      <c r="A112" s="31" t="s">
        <v>251</v>
      </c>
      <c r="B112" s="32" t="s">
        <v>400</v>
      </c>
      <c r="C112" s="32">
        <v>160</v>
      </c>
      <c r="D112" s="32">
        <v>600</v>
      </c>
      <c r="E112" s="32">
        <v>1</v>
      </c>
      <c r="F112" s="32">
        <f t="shared" si="17"/>
        <v>600</v>
      </c>
      <c r="G112" s="32">
        <v>600</v>
      </c>
      <c r="H112" s="32">
        <f t="shared" si="18"/>
        <v>0</v>
      </c>
      <c r="I112" s="9" t="str">
        <f>CONCATENATE(Table2[[#This Row],[Specs]],Table2[[#This Row],[Width]])</f>
        <v>上質&lt;70&gt; ME 7GB160</v>
      </c>
    </row>
    <row r="113" spans="1:9">
      <c r="A113" s="31" t="s">
        <v>251</v>
      </c>
      <c r="B113" s="32" t="s">
        <v>400</v>
      </c>
      <c r="C113" s="32">
        <v>160</v>
      </c>
      <c r="D113" s="32">
        <v>600</v>
      </c>
      <c r="E113" s="32">
        <v>1</v>
      </c>
      <c r="F113" s="32">
        <f t="shared" si="17"/>
        <v>600</v>
      </c>
      <c r="G113" s="32">
        <v>600</v>
      </c>
      <c r="H113" s="32">
        <f t="shared" si="18"/>
        <v>0</v>
      </c>
      <c r="I113" s="9" t="str">
        <f>CONCATENATE(Table2[[#This Row],[Specs]],Table2[[#This Row],[Width]])</f>
        <v>上質&lt;70&gt; ME 7GB160</v>
      </c>
    </row>
    <row r="114" spans="1:9">
      <c r="A114" s="31" t="s">
        <v>252</v>
      </c>
      <c r="B114" s="32" t="s">
        <v>403</v>
      </c>
      <c r="C114" s="32">
        <v>165</v>
      </c>
      <c r="D114" s="32">
        <v>600</v>
      </c>
      <c r="E114" s="32">
        <v>1</v>
      </c>
      <c r="F114" s="32">
        <f t="shared" si="17"/>
        <v>600</v>
      </c>
      <c r="G114" s="32">
        <v>600</v>
      </c>
      <c r="H114" s="32">
        <f t="shared" si="18"/>
        <v>0</v>
      </c>
      <c r="I114" s="9" t="str">
        <f>CONCATENATE(Table2[[#This Row],[Specs]],Table2[[#This Row],[Width]])</f>
        <v>ユポ80 MD 8GB165</v>
      </c>
    </row>
    <row r="115" spans="1:9">
      <c r="A115" s="31" t="s">
        <v>252</v>
      </c>
      <c r="B115" s="32" t="s">
        <v>403</v>
      </c>
      <c r="C115" s="32">
        <v>165</v>
      </c>
      <c r="D115" s="32">
        <v>600</v>
      </c>
      <c r="E115" s="32">
        <v>1</v>
      </c>
      <c r="F115" s="32">
        <f t="shared" si="17"/>
        <v>600</v>
      </c>
      <c r="G115" s="32">
        <v>600</v>
      </c>
      <c r="H115" s="32">
        <f t="shared" si="18"/>
        <v>0</v>
      </c>
      <c r="I115" s="9" t="str">
        <f>CONCATENATE(Table2[[#This Row],[Specs]],Table2[[#This Row],[Width]])</f>
        <v>ユポ80 MD 8GB165</v>
      </c>
    </row>
    <row r="116" spans="1:9">
      <c r="A116" s="31" t="s">
        <v>252</v>
      </c>
      <c r="B116" s="32" t="s">
        <v>403</v>
      </c>
      <c r="C116" s="32">
        <v>165</v>
      </c>
      <c r="D116" s="32">
        <v>600</v>
      </c>
      <c r="E116" s="32">
        <v>1</v>
      </c>
      <c r="F116" s="32">
        <f t="shared" si="17"/>
        <v>600</v>
      </c>
      <c r="G116" s="32">
        <v>600</v>
      </c>
      <c r="H116" s="32">
        <f t="shared" si="18"/>
        <v>0</v>
      </c>
      <c r="I116" s="9" t="str">
        <f>CONCATENATE(Table2[[#This Row],[Specs]],Table2[[#This Row],[Width]])</f>
        <v>ユポ80 MD 8GB165</v>
      </c>
    </row>
    <row r="117" spans="1:9">
      <c r="A117" s="31" t="s">
        <v>253</v>
      </c>
      <c r="B117" s="32" t="s">
        <v>403</v>
      </c>
      <c r="C117" s="32">
        <v>165</v>
      </c>
      <c r="D117" s="32">
        <v>600</v>
      </c>
      <c r="E117" s="32">
        <v>1</v>
      </c>
      <c r="F117" s="32">
        <f t="shared" si="17"/>
        <v>600</v>
      </c>
      <c r="G117" s="32">
        <v>600</v>
      </c>
      <c r="H117" s="32">
        <f t="shared" si="18"/>
        <v>0</v>
      </c>
      <c r="I117" s="9" t="str">
        <f>CONCATENATE(Table2[[#This Row],[Specs]],Table2[[#This Row],[Width]])</f>
        <v>ユポ80 MD 8GB165</v>
      </c>
    </row>
    <row r="118" spans="1:9">
      <c r="A118" s="31" t="s">
        <v>253</v>
      </c>
      <c r="B118" s="32" t="s">
        <v>403</v>
      </c>
      <c r="C118" s="32">
        <v>185</v>
      </c>
      <c r="D118" s="32">
        <v>600</v>
      </c>
      <c r="E118" s="32">
        <v>1</v>
      </c>
      <c r="F118" s="32">
        <f t="shared" ref="F118:F124" si="19">E118*D118</f>
        <v>600</v>
      </c>
      <c r="G118" s="32">
        <v>600</v>
      </c>
      <c r="H118" s="32">
        <f t="shared" ref="H118:H124" si="20">F118-G118</f>
        <v>0</v>
      </c>
      <c r="I118" s="9" t="str">
        <f>CONCATENATE(Table2[[#This Row],[Specs]],Table2[[#This Row],[Width]])</f>
        <v>ユポ80 MD 8GB185</v>
      </c>
    </row>
    <row r="119" spans="1:9">
      <c r="A119" s="31" t="s">
        <v>253</v>
      </c>
      <c r="B119" s="32" t="s">
        <v>403</v>
      </c>
      <c r="C119" s="32">
        <v>125</v>
      </c>
      <c r="D119" s="32">
        <v>600</v>
      </c>
      <c r="E119" s="32">
        <v>1</v>
      </c>
      <c r="F119" s="32">
        <f t="shared" si="19"/>
        <v>600</v>
      </c>
      <c r="G119" s="32">
        <v>600</v>
      </c>
      <c r="H119" s="32">
        <f t="shared" si="20"/>
        <v>0</v>
      </c>
      <c r="I119" s="9" t="str">
        <f>CONCATENATE(Table2[[#This Row],[Specs]],Table2[[#This Row],[Width]])</f>
        <v>ユポ80 MD 8GB125</v>
      </c>
    </row>
    <row r="120" spans="1:9">
      <c r="A120" s="31" t="s">
        <v>254</v>
      </c>
      <c r="B120" s="32" t="s">
        <v>403</v>
      </c>
      <c r="C120" s="32">
        <v>165</v>
      </c>
      <c r="D120" s="32">
        <v>600</v>
      </c>
      <c r="E120" s="32">
        <v>1</v>
      </c>
      <c r="F120" s="32">
        <f t="shared" si="19"/>
        <v>600</v>
      </c>
      <c r="G120" s="32">
        <v>600</v>
      </c>
      <c r="H120" s="32">
        <f t="shared" si="20"/>
        <v>0</v>
      </c>
      <c r="I120" s="9" t="str">
        <f>CONCATENATE(Table2[[#This Row],[Specs]],Table2[[#This Row],[Width]])</f>
        <v>ユポ80 MD 8GB165</v>
      </c>
    </row>
    <row r="121" spans="1:9">
      <c r="A121" s="31" t="s">
        <v>254</v>
      </c>
      <c r="B121" s="32" t="s">
        <v>403</v>
      </c>
      <c r="C121" s="32">
        <v>165</v>
      </c>
      <c r="D121" s="32">
        <v>600</v>
      </c>
      <c r="E121" s="32">
        <v>1</v>
      </c>
      <c r="F121" s="32">
        <f t="shared" si="19"/>
        <v>600</v>
      </c>
      <c r="G121" s="32">
        <v>600</v>
      </c>
      <c r="H121" s="32">
        <f t="shared" si="20"/>
        <v>0</v>
      </c>
      <c r="I121" s="9" t="str">
        <f>CONCATENATE(Table2[[#This Row],[Specs]],Table2[[#This Row],[Width]])</f>
        <v>ユポ80 MD 8GB165</v>
      </c>
    </row>
    <row r="122" spans="1:9">
      <c r="A122" s="31" t="s">
        <v>255</v>
      </c>
      <c r="B122" s="32" t="s">
        <v>403</v>
      </c>
      <c r="C122" s="32">
        <v>140</v>
      </c>
      <c r="D122" s="32">
        <v>600</v>
      </c>
      <c r="E122" s="32">
        <v>1</v>
      </c>
      <c r="F122" s="32">
        <f t="shared" si="19"/>
        <v>600</v>
      </c>
      <c r="G122" s="32">
        <v>600</v>
      </c>
      <c r="H122" s="32">
        <f t="shared" si="20"/>
        <v>0</v>
      </c>
      <c r="I122" s="9" t="str">
        <f>CONCATENATE(Table2[[#This Row],[Specs]],Table2[[#This Row],[Width]])</f>
        <v>ユポ80 MD 8GB140</v>
      </c>
    </row>
    <row r="123" spans="1:9">
      <c r="A123" s="31" t="s">
        <v>256</v>
      </c>
      <c r="B123" s="32" t="s">
        <v>410</v>
      </c>
      <c r="C123" s="32">
        <v>140</v>
      </c>
      <c r="D123" s="32">
        <v>500</v>
      </c>
      <c r="E123" s="32">
        <v>1</v>
      </c>
      <c r="F123" s="32">
        <f t="shared" si="19"/>
        <v>500</v>
      </c>
      <c r="G123" s="32"/>
      <c r="H123" s="32">
        <f t="shared" si="20"/>
        <v>500</v>
      </c>
      <c r="I123" s="9" t="str">
        <f>CONCATENATE(Table2[[#This Row],[Specs]],Table2[[#This Row],[Width]])</f>
        <v xml:space="preserve"> アート７３ME７GB140</v>
      </c>
    </row>
    <row r="124" spans="1:9">
      <c r="A124" s="31" t="s">
        <v>257</v>
      </c>
      <c r="B124" s="32" t="s">
        <v>403</v>
      </c>
      <c r="C124" s="32">
        <v>155</v>
      </c>
      <c r="D124" s="32">
        <v>600</v>
      </c>
      <c r="E124" s="32">
        <v>1</v>
      </c>
      <c r="F124" s="32">
        <f t="shared" si="19"/>
        <v>600</v>
      </c>
      <c r="G124" s="32">
        <v>600</v>
      </c>
      <c r="H124" s="32">
        <f t="shared" si="20"/>
        <v>0</v>
      </c>
      <c r="I124" s="9" t="str">
        <f>CONCATENATE(Table2[[#This Row],[Specs]],Table2[[#This Row],[Width]])</f>
        <v>ユポ80 MD 8GB155</v>
      </c>
    </row>
    <row r="125" spans="1:9">
      <c r="A125" s="31" t="s">
        <v>257</v>
      </c>
      <c r="B125" s="32" t="s">
        <v>258</v>
      </c>
      <c r="C125" s="32">
        <v>210</v>
      </c>
      <c r="D125" s="32">
        <v>1000</v>
      </c>
      <c r="E125" s="32">
        <v>1</v>
      </c>
      <c r="F125" s="32">
        <f t="shared" ref="F125:F130" si="21">E125*D125</f>
        <v>1000</v>
      </c>
      <c r="G125" s="32">
        <v>1000</v>
      </c>
      <c r="H125" s="32">
        <f t="shared" ref="H125:H130" si="22">F125-G125</f>
        <v>0</v>
      </c>
      <c r="I125" s="9" t="str">
        <f>CONCATENATE(Table2[[#This Row],[Specs]],Table2[[#This Row],[Width]])</f>
        <v>TWF55P16U5W210</v>
      </c>
    </row>
    <row r="126" spans="1:9">
      <c r="A126" s="31" t="s">
        <v>259</v>
      </c>
      <c r="B126" s="32" t="s">
        <v>403</v>
      </c>
      <c r="C126" s="32">
        <v>115</v>
      </c>
      <c r="D126" s="32">
        <v>600</v>
      </c>
      <c r="E126" s="32">
        <v>1</v>
      </c>
      <c r="F126" s="32">
        <f t="shared" si="21"/>
        <v>600</v>
      </c>
      <c r="G126" s="32">
        <v>300</v>
      </c>
      <c r="H126" s="32">
        <f t="shared" si="22"/>
        <v>300</v>
      </c>
      <c r="I126" s="9" t="str">
        <f>CONCATENATE(Table2[[#This Row],[Specs]],Table2[[#This Row],[Width]])</f>
        <v>ユポ80 MD 8GB115</v>
      </c>
    </row>
    <row r="127" spans="1:9">
      <c r="A127" s="31" t="s">
        <v>260</v>
      </c>
      <c r="B127" s="32" t="s">
        <v>403</v>
      </c>
      <c r="C127" s="32">
        <v>155</v>
      </c>
      <c r="D127" s="32">
        <v>600</v>
      </c>
      <c r="E127" s="32">
        <v>1</v>
      </c>
      <c r="F127" s="32">
        <f t="shared" si="21"/>
        <v>600</v>
      </c>
      <c r="G127" s="32">
        <v>600</v>
      </c>
      <c r="H127" s="32">
        <f t="shared" si="22"/>
        <v>0</v>
      </c>
      <c r="I127" s="9" t="str">
        <f>CONCATENATE(Table2[[#This Row],[Specs]],Table2[[#This Row],[Width]])</f>
        <v>ユポ80 MD 8GB155</v>
      </c>
    </row>
    <row r="128" spans="1:9">
      <c r="A128" s="31" t="s">
        <v>261</v>
      </c>
      <c r="B128" s="32" t="s">
        <v>403</v>
      </c>
      <c r="C128" s="32">
        <v>165</v>
      </c>
      <c r="D128" s="32">
        <v>600</v>
      </c>
      <c r="E128" s="32">
        <v>1</v>
      </c>
      <c r="F128" s="32">
        <f t="shared" si="21"/>
        <v>600</v>
      </c>
      <c r="G128" s="32">
        <v>600</v>
      </c>
      <c r="H128" s="32">
        <f t="shared" si="22"/>
        <v>0</v>
      </c>
      <c r="I128" s="9" t="str">
        <f>CONCATENATE(Table2[[#This Row],[Specs]],Table2[[#This Row],[Width]])</f>
        <v>ユポ80 MD 8GB165</v>
      </c>
    </row>
    <row r="129" spans="1:9">
      <c r="A129" s="31" t="s">
        <v>261</v>
      </c>
      <c r="B129" s="32" t="s">
        <v>403</v>
      </c>
      <c r="C129" s="32">
        <v>165</v>
      </c>
      <c r="D129" s="32">
        <v>600</v>
      </c>
      <c r="E129" s="32">
        <v>1</v>
      </c>
      <c r="F129" s="32">
        <f t="shared" si="21"/>
        <v>600</v>
      </c>
      <c r="G129" s="32">
        <v>600</v>
      </c>
      <c r="H129" s="32">
        <f t="shared" si="22"/>
        <v>0</v>
      </c>
      <c r="I129" s="9" t="str">
        <f>CONCATENATE(Table2[[#This Row],[Specs]],Table2[[#This Row],[Width]])</f>
        <v>ユポ80 MD 8GB165</v>
      </c>
    </row>
    <row r="130" spans="1:9">
      <c r="A130" s="31" t="s">
        <v>270</v>
      </c>
      <c r="B130" s="32" t="s">
        <v>403</v>
      </c>
      <c r="C130" s="32">
        <v>125</v>
      </c>
      <c r="D130" s="32">
        <v>600</v>
      </c>
      <c r="E130" s="32">
        <v>1</v>
      </c>
      <c r="F130" s="32">
        <f t="shared" si="21"/>
        <v>600</v>
      </c>
      <c r="G130" s="32">
        <v>600</v>
      </c>
      <c r="H130" s="32">
        <f t="shared" si="22"/>
        <v>0</v>
      </c>
      <c r="I130" s="9" t="str">
        <f>CONCATENATE(Table2[[#This Row],[Specs]],Table2[[#This Row],[Width]])</f>
        <v>ユポ80 MD 8GB125</v>
      </c>
    </row>
    <row r="131" spans="1:9">
      <c r="A131" s="31" t="s">
        <v>271</v>
      </c>
      <c r="B131" s="32" t="s">
        <v>403</v>
      </c>
      <c r="C131" s="32">
        <v>125</v>
      </c>
      <c r="D131" s="32">
        <v>600</v>
      </c>
      <c r="E131" s="32">
        <v>1</v>
      </c>
      <c r="F131" s="32">
        <f t="shared" ref="F131:F137" si="23">E131*D131</f>
        <v>600</v>
      </c>
      <c r="G131" s="32">
        <v>600</v>
      </c>
      <c r="H131" s="32">
        <f t="shared" ref="H131:H137" si="24">F131-G131</f>
        <v>0</v>
      </c>
      <c r="I131" s="9" t="str">
        <f>CONCATENATE(Table2[[#This Row],[Specs]],Table2[[#This Row],[Width]])</f>
        <v>ユポ80 MD 8GB125</v>
      </c>
    </row>
    <row r="132" spans="1:9">
      <c r="A132" s="31" t="s">
        <v>271</v>
      </c>
      <c r="B132" s="32" t="s">
        <v>403</v>
      </c>
      <c r="C132" s="32">
        <v>165</v>
      </c>
      <c r="D132" s="32">
        <v>600</v>
      </c>
      <c r="E132" s="32">
        <v>1</v>
      </c>
      <c r="F132" s="32">
        <f t="shared" si="23"/>
        <v>600</v>
      </c>
      <c r="G132" s="32">
        <v>600</v>
      </c>
      <c r="H132" s="32">
        <f t="shared" si="24"/>
        <v>0</v>
      </c>
      <c r="I132" s="9" t="str">
        <f>CONCATENATE(Table2[[#This Row],[Specs]],Table2[[#This Row],[Width]])</f>
        <v>ユポ80 MD 8GB165</v>
      </c>
    </row>
    <row r="133" spans="1:9">
      <c r="A133" s="31" t="s">
        <v>271</v>
      </c>
      <c r="B133" s="32" t="s">
        <v>403</v>
      </c>
      <c r="C133" s="32">
        <v>140</v>
      </c>
      <c r="D133" s="32">
        <v>600</v>
      </c>
      <c r="E133" s="32">
        <v>1</v>
      </c>
      <c r="F133" s="32">
        <f t="shared" si="23"/>
        <v>600</v>
      </c>
      <c r="G133" s="32">
        <v>600</v>
      </c>
      <c r="H133" s="32">
        <f t="shared" si="24"/>
        <v>0</v>
      </c>
      <c r="I133" s="9" t="str">
        <f>CONCATENATE(Table2[[#This Row],[Specs]],Table2[[#This Row],[Width]])</f>
        <v>ユポ80 MD 8GB140</v>
      </c>
    </row>
    <row r="134" spans="1:9">
      <c r="A134" s="31" t="s">
        <v>271</v>
      </c>
      <c r="B134" s="32" t="s">
        <v>403</v>
      </c>
      <c r="C134" s="32">
        <v>165</v>
      </c>
      <c r="D134" s="32">
        <v>600</v>
      </c>
      <c r="E134" s="32">
        <v>1</v>
      </c>
      <c r="F134" s="32">
        <f t="shared" si="23"/>
        <v>600</v>
      </c>
      <c r="G134" s="32">
        <v>600</v>
      </c>
      <c r="H134" s="32">
        <f t="shared" si="24"/>
        <v>0</v>
      </c>
      <c r="I134" s="9" t="str">
        <f>CONCATENATE(Table2[[#This Row],[Specs]],Table2[[#This Row],[Width]])</f>
        <v>ユポ80 MD 8GB165</v>
      </c>
    </row>
    <row r="135" spans="1:9">
      <c r="A135" s="31" t="s">
        <v>271</v>
      </c>
      <c r="B135" s="32" t="s">
        <v>404</v>
      </c>
      <c r="C135" s="32">
        <v>120</v>
      </c>
      <c r="D135" s="32">
        <v>600</v>
      </c>
      <c r="E135" s="32">
        <v>1</v>
      </c>
      <c r="F135" s="32">
        <f t="shared" si="23"/>
        <v>600</v>
      </c>
      <c r="G135" s="32">
        <v>200</v>
      </c>
      <c r="H135" s="32">
        <f t="shared" si="24"/>
        <v>400</v>
      </c>
      <c r="I135" s="9" t="str">
        <f>CONCATENATE(Table2[[#This Row],[Specs]],Table2[[#This Row],[Width]])</f>
        <v>キャスト&lt;73&gt;ME80E120</v>
      </c>
    </row>
    <row r="136" spans="1:9">
      <c r="A136" s="31" t="s">
        <v>271</v>
      </c>
      <c r="B136" s="32" t="s">
        <v>403</v>
      </c>
      <c r="C136" s="32">
        <v>165</v>
      </c>
      <c r="D136" s="32">
        <v>600</v>
      </c>
      <c r="E136" s="32">
        <v>1</v>
      </c>
      <c r="F136" s="32">
        <f t="shared" si="23"/>
        <v>600</v>
      </c>
      <c r="G136" s="32">
        <v>600</v>
      </c>
      <c r="H136" s="32">
        <f t="shared" si="24"/>
        <v>0</v>
      </c>
      <c r="I136" s="9" t="str">
        <f>CONCATENATE(Table2[[#This Row],[Specs]],Table2[[#This Row],[Width]])</f>
        <v>ユポ80 MD 8GB165</v>
      </c>
    </row>
    <row r="137" spans="1:9">
      <c r="A137" s="31" t="s">
        <v>273</v>
      </c>
      <c r="B137" s="32" t="s">
        <v>401</v>
      </c>
      <c r="C137" s="32">
        <v>130</v>
      </c>
      <c r="D137" s="32">
        <v>600</v>
      </c>
      <c r="E137" s="32">
        <v>1</v>
      </c>
      <c r="F137" s="32">
        <f t="shared" si="23"/>
        <v>600</v>
      </c>
      <c r="G137" s="32">
        <v>570</v>
      </c>
      <c r="H137" s="32">
        <f t="shared" si="24"/>
        <v>30</v>
      </c>
      <c r="I137" s="9" t="str">
        <f>CONCATENATE(Table2[[#This Row],[Specs]],Table2[[#This Row],[Width]])</f>
        <v>上質&lt;55&gt;ME 7GB130</v>
      </c>
    </row>
    <row r="138" spans="1:9">
      <c r="A138" s="31" t="s">
        <v>274</v>
      </c>
      <c r="B138" s="32" t="s">
        <v>403</v>
      </c>
      <c r="C138" s="32">
        <v>165</v>
      </c>
      <c r="D138" s="32">
        <v>600</v>
      </c>
      <c r="E138" s="32">
        <v>1</v>
      </c>
      <c r="F138" s="32">
        <f t="shared" ref="F138:F148" si="25">E138*D138</f>
        <v>600</v>
      </c>
      <c r="G138" s="32">
        <v>600</v>
      </c>
      <c r="H138" s="32">
        <f t="shared" ref="H138:H148" si="26">F138-G138</f>
        <v>0</v>
      </c>
      <c r="I138" s="9" t="str">
        <f>CONCATENATE(Table2[[#This Row],[Specs]],Table2[[#This Row],[Width]])</f>
        <v>ユポ80 MD 8GB165</v>
      </c>
    </row>
    <row r="139" spans="1:9">
      <c r="A139" s="31" t="s">
        <v>274</v>
      </c>
      <c r="B139" s="32" t="s">
        <v>403</v>
      </c>
      <c r="C139" s="32">
        <v>165</v>
      </c>
      <c r="D139" s="32">
        <v>600</v>
      </c>
      <c r="E139" s="32">
        <v>1</v>
      </c>
      <c r="F139" s="32">
        <f t="shared" si="25"/>
        <v>600</v>
      </c>
      <c r="G139" s="32">
        <v>600</v>
      </c>
      <c r="H139" s="32">
        <f t="shared" si="26"/>
        <v>0</v>
      </c>
      <c r="I139" s="9" t="str">
        <f>CONCATENATE(Table2[[#This Row],[Specs]],Table2[[#This Row],[Width]])</f>
        <v>ユポ80 MD 8GB165</v>
      </c>
    </row>
    <row r="140" spans="1:9">
      <c r="A140" s="31" t="s">
        <v>276</v>
      </c>
      <c r="B140" s="32" t="s">
        <v>403</v>
      </c>
      <c r="C140" s="32">
        <v>140</v>
      </c>
      <c r="D140" s="32">
        <v>600</v>
      </c>
      <c r="E140" s="32">
        <v>1</v>
      </c>
      <c r="F140" s="32">
        <f t="shared" si="25"/>
        <v>600</v>
      </c>
      <c r="G140" s="32">
        <v>600</v>
      </c>
      <c r="H140" s="32">
        <f t="shared" si="26"/>
        <v>0</v>
      </c>
      <c r="I140" s="9" t="str">
        <f>CONCATENATE(Table2[[#This Row],[Specs]],Table2[[#This Row],[Width]])</f>
        <v>ユポ80 MD 8GB140</v>
      </c>
    </row>
    <row r="141" spans="1:9">
      <c r="A141" s="31" t="s">
        <v>277</v>
      </c>
      <c r="B141" s="32" t="s">
        <v>403</v>
      </c>
      <c r="C141" s="32">
        <v>165</v>
      </c>
      <c r="D141" s="32">
        <v>600</v>
      </c>
      <c r="E141" s="32">
        <v>1</v>
      </c>
      <c r="F141" s="32">
        <f t="shared" si="25"/>
        <v>600</v>
      </c>
      <c r="G141" s="32">
        <v>600</v>
      </c>
      <c r="H141" s="32">
        <f t="shared" si="26"/>
        <v>0</v>
      </c>
      <c r="I141" s="9" t="str">
        <f>CONCATENATE(Table2[[#This Row],[Specs]],Table2[[#This Row],[Width]])</f>
        <v>ユポ80 MD 8GB165</v>
      </c>
    </row>
    <row r="142" spans="1:9">
      <c r="A142" s="31" t="s">
        <v>277</v>
      </c>
      <c r="B142" s="32" t="s">
        <v>403</v>
      </c>
      <c r="C142" s="32">
        <v>125</v>
      </c>
      <c r="D142" s="32">
        <v>600</v>
      </c>
      <c r="E142" s="32">
        <v>1</v>
      </c>
      <c r="F142" s="32">
        <f t="shared" si="25"/>
        <v>600</v>
      </c>
      <c r="G142" s="32">
        <v>600</v>
      </c>
      <c r="H142" s="32">
        <f t="shared" si="26"/>
        <v>0</v>
      </c>
      <c r="I142" s="9" t="str">
        <f>CONCATENATE(Table2[[#This Row],[Specs]],Table2[[#This Row],[Width]])</f>
        <v>ユポ80 MD 8GB125</v>
      </c>
    </row>
    <row r="143" spans="1:9">
      <c r="A143" s="31" t="s">
        <v>277</v>
      </c>
      <c r="B143" s="32" t="s">
        <v>403</v>
      </c>
      <c r="C143" s="32">
        <v>165</v>
      </c>
      <c r="D143" s="32">
        <v>600</v>
      </c>
      <c r="E143" s="32">
        <v>1</v>
      </c>
      <c r="F143" s="32">
        <f t="shared" si="25"/>
        <v>600</v>
      </c>
      <c r="G143" s="32">
        <v>600</v>
      </c>
      <c r="H143" s="32">
        <f t="shared" si="26"/>
        <v>0</v>
      </c>
      <c r="I143" s="9" t="str">
        <f>CONCATENATE(Table2[[#This Row],[Specs]],Table2[[#This Row],[Width]])</f>
        <v>ユポ80 MD 8GB165</v>
      </c>
    </row>
    <row r="144" spans="1:9">
      <c r="A144" s="31" t="s">
        <v>278</v>
      </c>
      <c r="B144" s="32" t="s">
        <v>406</v>
      </c>
      <c r="C144" s="32">
        <v>100</v>
      </c>
      <c r="D144" s="32">
        <v>600</v>
      </c>
      <c r="E144" s="32">
        <v>1</v>
      </c>
      <c r="F144" s="32">
        <f t="shared" si="25"/>
        <v>600</v>
      </c>
      <c r="G144" s="32">
        <v>600</v>
      </c>
      <c r="H144" s="32">
        <f t="shared" si="26"/>
        <v>0</v>
      </c>
      <c r="I144" s="9" t="str">
        <f>CONCATENATE(Table2[[#This Row],[Specs]],Table2[[#This Row],[Width]])</f>
        <v xml:space="preserve"> 上質&lt;55&gt;ME 7GB100</v>
      </c>
    </row>
    <row r="145" spans="1:9">
      <c r="A145" s="31" t="s">
        <v>278</v>
      </c>
      <c r="B145" s="32" t="s">
        <v>403</v>
      </c>
      <c r="C145" s="32">
        <v>140</v>
      </c>
      <c r="D145" s="32">
        <v>600</v>
      </c>
      <c r="E145" s="32">
        <v>1</v>
      </c>
      <c r="F145" s="32">
        <f t="shared" si="25"/>
        <v>600</v>
      </c>
      <c r="G145" s="32">
        <v>600</v>
      </c>
      <c r="H145" s="32">
        <f t="shared" si="26"/>
        <v>0</v>
      </c>
      <c r="I145" s="9" t="str">
        <f>CONCATENATE(Table2[[#This Row],[Specs]],Table2[[#This Row],[Width]])</f>
        <v>ユポ80 MD 8GB140</v>
      </c>
    </row>
    <row r="146" spans="1:9">
      <c r="A146" s="31" t="s">
        <v>278</v>
      </c>
      <c r="B146" s="32" t="s">
        <v>406</v>
      </c>
      <c r="C146" s="32">
        <v>100</v>
      </c>
      <c r="D146" s="32">
        <v>600</v>
      </c>
      <c r="E146" s="32">
        <v>1</v>
      </c>
      <c r="F146" s="32">
        <f t="shared" si="25"/>
        <v>600</v>
      </c>
      <c r="G146" s="32">
        <v>600</v>
      </c>
      <c r="H146" s="32">
        <f t="shared" si="26"/>
        <v>0</v>
      </c>
      <c r="I146" s="9" t="str">
        <f>CONCATENATE(Table2[[#This Row],[Specs]],Table2[[#This Row],[Width]])</f>
        <v xml:space="preserve"> 上質&lt;55&gt;ME 7GB100</v>
      </c>
    </row>
    <row r="147" spans="1:9">
      <c r="A147" s="31" t="s">
        <v>278</v>
      </c>
      <c r="B147" s="32" t="s">
        <v>403</v>
      </c>
      <c r="C147" s="32">
        <v>140</v>
      </c>
      <c r="D147" s="32">
        <v>600</v>
      </c>
      <c r="E147" s="32">
        <v>1</v>
      </c>
      <c r="F147" s="32">
        <f t="shared" si="25"/>
        <v>600</v>
      </c>
      <c r="G147" s="32">
        <v>600</v>
      </c>
      <c r="H147" s="32">
        <f t="shared" si="26"/>
        <v>0</v>
      </c>
      <c r="I147" s="9" t="str">
        <f>CONCATENATE(Table2[[#This Row],[Specs]],Table2[[#This Row],[Width]])</f>
        <v>ユポ80 MD 8GB140</v>
      </c>
    </row>
    <row r="148" spans="1:9">
      <c r="A148" s="31" t="s">
        <v>279</v>
      </c>
      <c r="B148" s="32" t="s">
        <v>403</v>
      </c>
      <c r="C148" s="32">
        <v>155</v>
      </c>
      <c r="D148" s="32">
        <v>600</v>
      </c>
      <c r="E148" s="32">
        <v>1</v>
      </c>
      <c r="F148" s="32">
        <f t="shared" si="25"/>
        <v>600</v>
      </c>
      <c r="G148" s="32">
        <v>400</v>
      </c>
      <c r="H148" s="32">
        <f t="shared" si="26"/>
        <v>200</v>
      </c>
      <c r="I148" s="9" t="str">
        <f>CONCATENATE(Table2[[#This Row],[Specs]],Table2[[#This Row],[Width]])</f>
        <v>ユポ80 MD 8GB155</v>
      </c>
    </row>
    <row r="149" spans="1:9">
      <c r="A149" s="31" t="s">
        <v>280</v>
      </c>
      <c r="B149" s="32" t="s">
        <v>281</v>
      </c>
      <c r="C149" s="32">
        <v>110</v>
      </c>
      <c r="D149" s="32">
        <v>200</v>
      </c>
      <c r="E149" s="32">
        <v>1</v>
      </c>
      <c r="F149" s="32">
        <f t="shared" ref="F149:F155" si="27">E149*D149</f>
        <v>200</v>
      </c>
      <c r="G149" s="32"/>
      <c r="H149" s="32">
        <f t="shared" ref="H149:H155" si="28">F149-G149</f>
        <v>200</v>
      </c>
      <c r="I149" s="9" t="str">
        <f>CONCATENATE(Table2[[#This Row],[Specs]],Table2[[#This Row],[Width]])</f>
        <v>PET50Sマット MP1 110HS110</v>
      </c>
    </row>
    <row r="150" spans="1:9">
      <c r="A150" s="31" t="s">
        <v>280</v>
      </c>
      <c r="B150" s="32" t="s">
        <v>281</v>
      </c>
      <c r="C150" s="32">
        <v>110</v>
      </c>
      <c r="D150" s="32">
        <v>400</v>
      </c>
      <c r="E150" s="32">
        <v>1</v>
      </c>
      <c r="F150" s="32">
        <f t="shared" si="27"/>
        <v>400</v>
      </c>
      <c r="G150" s="32"/>
      <c r="H150" s="32">
        <f t="shared" si="28"/>
        <v>400</v>
      </c>
      <c r="I150" s="9" t="str">
        <f>CONCATENATE(Table2[[#This Row],[Specs]],Table2[[#This Row],[Width]])</f>
        <v>PET50Sマット MP1 110HS110</v>
      </c>
    </row>
    <row r="151" spans="1:9">
      <c r="A151" s="31" t="s">
        <v>282</v>
      </c>
      <c r="B151" s="32" t="s">
        <v>403</v>
      </c>
      <c r="C151" s="32">
        <v>185</v>
      </c>
      <c r="D151" s="32">
        <v>600</v>
      </c>
      <c r="E151" s="32">
        <v>1</v>
      </c>
      <c r="F151" s="32">
        <f t="shared" si="27"/>
        <v>600</v>
      </c>
      <c r="G151" s="32">
        <v>600</v>
      </c>
      <c r="H151" s="32">
        <f t="shared" si="28"/>
        <v>0</v>
      </c>
      <c r="I151" s="9" t="str">
        <f>CONCATENATE(Table2[[#This Row],[Specs]],Table2[[#This Row],[Width]])</f>
        <v>ユポ80 MD 8GB185</v>
      </c>
    </row>
    <row r="152" spans="1:9">
      <c r="A152" s="31" t="s">
        <v>282</v>
      </c>
      <c r="B152" s="32" t="s">
        <v>403</v>
      </c>
      <c r="C152" s="32">
        <v>165</v>
      </c>
      <c r="D152" s="32">
        <v>600</v>
      </c>
      <c r="E152" s="32">
        <v>1</v>
      </c>
      <c r="F152" s="32">
        <f t="shared" si="27"/>
        <v>600</v>
      </c>
      <c r="G152" s="32">
        <v>600</v>
      </c>
      <c r="H152" s="32">
        <f t="shared" si="28"/>
        <v>0</v>
      </c>
      <c r="I152" s="9" t="str">
        <f>CONCATENATE(Table2[[#This Row],[Specs]],Table2[[#This Row],[Width]])</f>
        <v>ユポ80 MD 8GB165</v>
      </c>
    </row>
    <row r="153" spans="1:9">
      <c r="A153" s="31" t="s">
        <v>282</v>
      </c>
      <c r="B153" s="32" t="s">
        <v>403</v>
      </c>
      <c r="C153" s="32">
        <v>165</v>
      </c>
      <c r="D153" s="32">
        <v>600</v>
      </c>
      <c r="E153" s="32">
        <v>1</v>
      </c>
      <c r="F153" s="32">
        <f t="shared" si="27"/>
        <v>600</v>
      </c>
      <c r="G153" s="32">
        <v>600</v>
      </c>
      <c r="H153" s="32">
        <f t="shared" si="28"/>
        <v>0</v>
      </c>
      <c r="I153" s="9" t="str">
        <f>CONCATENATE(Table2[[#This Row],[Specs]],Table2[[#This Row],[Width]])</f>
        <v>ユポ80 MD 8GB165</v>
      </c>
    </row>
    <row r="154" spans="1:9">
      <c r="A154" s="31" t="s">
        <v>282</v>
      </c>
      <c r="B154" s="32" t="s">
        <v>403</v>
      </c>
      <c r="C154" s="32">
        <v>155</v>
      </c>
      <c r="D154" s="32">
        <v>600</v>
      </c>
      <c r="E154" s="32">
        <v>1</v>
      </c>
      <c r="F154" s="32">
        <f t="shared" si="27"/>
        <v>600</v>
      </c>
      <c r="G154" s="32">
        <v>600</v>
      </c>
      <c r="H154" s="32">
        <f t="shared" si="28"/>
        <v>0</v>
      </c>
      <c r="I154" s="9" t="str">
        <f>CONCATENATE(Table2[[#This Row],[Specs]],Table2[[#This Row],[Width]])</f>
        <v>ユポ80 MD 8GB155</v>
      </c>
    </row>
    <row r="155" spans="1:9">
      <c r="A155" s="31" t="s">
        <v>283</v>
      </c>
      <c r="B155" s="32" t="s">
        <v>281</v>
      </c>
      <c r="C155" s="32">
        <v>115</v>
      </c>
      <c r="D155" s="32">
        <v>300</v>
      </c>
      <c r="E155" s="32">
        <v>1</v>
      </c>
      <c r="F155" s="32">
        <f t="shared" si="27"/>
        <v>300</v>
      </c>
      <c r="G155" s="32">
        <v>120</v>
      </c>
      <c r="H155" s="32">
        <f t="shared" si="28"/>
        <v>180</v>
      </c>
      <c r="I155" s="9" t="str">
        <f>CONCATENATE(Table2[[#This Row],[Specs]],Table2[[#This Row],[Width]])</f>
        <v>PET50Sマット MP1 110HS115</v>
      </c>
    </row>
    <row r="156" spans="1:9">
      <c r="A156" s="31" t="s">
        <v>285</v>
      </c>
      <c r="B156" s="32" t="s">
        <v>403</v>
      </c>
      <c r="C156" s="32">
        <v>165</v>
      </c>
      <c r="D156" s="32">
        <v>600</v>
      </c>
      <c r="E156" s="32">
        <v>1</v>
      </c>
      <c r="F156" s="32">
        <f t="shared" ref="F156:F161" si="29">E156*D156</f>
        <v>600</v>
      </c>
      <c r="G156" s="32">
        <v>600</v>
      </c>
      <c r="H156" s="32">
        <f t="shared" ref="H156:H161" si="30">F156-G156</f>
        <v>0</v>
      </c>
      <c r="I156" s="9" t="str">
        <f>CONCATENATE(Table2[[#This Row],[Specs]],Table2[[#This Row],[Width]])</f>
        <v>ユポ80 MD 8GB165</v>
      </c>
    </row>
    <row r="157" spans="1:9">
      <c r="A157" s="31" t="s">
        <v>285</v>
      </c>
      <c r="B157" s="32" t="s">
        <v>403</v>
      </c>
      <c r="C157" s="32">
        <v>185</v>
      </c>
      <c r="D157" s="32">
        <v>600</v>
      </c>
      <c r="E157" s="32">
        <v>1</v>
      </c>
      <c r="F157" s="32">
        <f t="shared" si="29"/>
        <v>600</v>
      </c>
      <c r="G157" s="32">
        <v>600</v>
      </c>
      <c r="H157" s="32">
        <f t="shared" si="30"/>
        <v>0</v>
      </c>
      <c r="I157" s="9" t="str">
        <f>CONCATENATE(Table2[[#This Row],[Specs]],Table2[[#This Row],[Width]])</f>
        <v>ユポ80 MD 8GB185</v>
      </c>
    </row>
    <row r="158" spans="1:9">
      <c r="A158" s="31" t="s">
        <v>286</v>
      </c>
      <c r="B158" s="32" t="s">
        <v>403</v>
      </c>
      <c r="C158" s="32">
        <v>125</v>
      </c>
      <c r="D158" s="32">
        <v>600</v>
      </c>
      <c r="E158" s="32">
        <v>1</v>
      </c>
      <c r="F158" s="32">
        <f t="shared" si="29"/>
        <v>600</v>
      </c>
      <c r="G158" s="32">
        <v>600</v>
      </c>
      <c r="H158" s="32">
        <f t="shared" si="30"/>
        <v>0</v>
      </c>
      <c r="I158" s="9" t="str">
        <f>CONCATENATE(Table2[[#This Row],[Specs]],Table2[[#This Row],[Width]])</f>
        <v>ユポ80 MD 8GB125</v>
      </c>
    </row>
    <row r="159" spans="1:9">
      <c r="A159" s="31" t="s">
        <v>287</v>
      </c>
      <c r="B159" s="32" t="s">
        <v>403</v>
      </c>
      <c r="C159" s="32">
        <v>165</v>
      </c>
      <c r="D159" s="32">
        <v>600</v>
      </c>
      <c r="E159" s="32">
        <v>1</v>
      </c>
      <c r="F159" s="32">
        <f t="shared" si="29"/>
        <v>600</v>
      </c>
      <c r="G159" s="32">
        <v>600</v>
      </c>
      <c r="H159" s="32">
        <f t="shared" si="30"/>
        <v>0</v>
      </c>
      <c r="I159" s="9" t="str">
        <f>CONCATENATE(Table2[[#This Row],[Specs]],Table2[[#This Row],[Width]])</f>
        <v>ユポ80 MD 8GB165</v>
      </c>
    </row>
    <row r="160" spans="1:9">
      <c r="A160" s="31" t="s">
        <v>287</v>
      </c>
      <c r="B160" s="32" t="s">
        <v>403</v>
      </c>
      <c r="C160" s="32">
        <v>165</v>
      </c>
      <c r="D160" s="32">
        <v>600</v>
      </c>
      <c r="E160" s="32">
        <v>1</v>
      </c>
      <c r="F160" s="32">
        <f t="shared" si="29"/>
        <v>600</v>
      </c>
      <c r="G160" s="32">
        <v>600</v>
      </c>
      <c r="H160" s="32">
        <f t="shared" si="30"/>
        <v>0</v>
      </c>
      <c r="I160" s="9" t="str">
        <f>CONCATENATE(Table2[[#This Row],[Specs]],Table2[[#This Row],[Width]])</f>
        <v>ユポ80 MD 8GB165</v>
      </c>
    </row>
    <row r="161" spans="1:9">
      <c r="A161" s="31" t="s">
        <v>324</v>
      </c>
      <c r="B161" s="32" t="s">
        <v>403</v>
      </c>
      <c r="C161" s="32">
        <v>125</v>
      </c>
      <c r="D161" s="32">
        <v>600</v>
      </c>
      <c r="E161" s="32">
        <v>1</v>
      </c>
      <c r="F161" s="32">
        <f t="shared" si="29"/>
        <v>600</v>
      </c>
      <c r="G161" s="32">
        <v>600</v>
      </c>
      <c r="H161" s="32">
        <f t="shared" si="30"/>
        <v>0</v>
      </c>
      <c r="I161" s="9" t="str">
        <f>CONCATENATE(Table2[[#This Row],[Specs]],Table2[[#This Row],[Width]])</f>
        <v>ユポ80 MD 8GB125</v>
      </c>
    </row>
    <row r="162" spans="1:9">
      <c r="A162" s="31" t="s">
        <v>324</v>
      </c>
      <c r="B162" s="32" t="s">
        <v>403</v>
      </c>
      <c r="C162" s="32">
        <v>125</v>
      </c>
      <c r="D162" s="32">
        <v>600</v>
      </c>
      <c r="E162" s="32">
        <v>1</v>
      </c>
      <c r="F162" s="32">
        <f t="shared" ref="F162:F170" si="31">E162*D162</f>
        <v>600</v>
      </c>
      <c r="G162" s="32">
        <v>600</v>
      </c>
      <c r="H162" s="32">
        <f t="shared" ref="H162:H170" si="32">F162-G162</f>
        <v>0</v>
      </c>
      <c r="I162" s="9" t="str">
        <f>CONCATENATE(Table2[[#This Row],[Specs]],Table2[[#This Row],[Width]])</f>
        <v>ユポ80 MD 8GB125</v>
      </c>
    </row>
    <row r="163" spans="1:9">
      <c r="A163" s="31" t="s">
        <v>324</v>
      </c>
      <c r="B163" s="32" t="s">
        <v>403</v>
      </c>
      <c r="C163" s="32">
        <v>140</v>
      </c>
      <c r="D163" s="32">
        <v>600</v>
      </c>
      <c r="E163" s="32">
        <v>1</v>
      </c>
      <c r="F163" s="32">
        <f t="shared" si="31"/>
        <v>600</v>
      </c>
      <c r="G163" s="32">
        <v>600</v>
      </c>
      <c r="H163" s="32">
        <f t="shared" si="32"/>
        <v>0</v>
      </c>
      <c r="I163" s="9" t="str">
        <f>CONCATENATE(Table2[[#This Row],[Specs]],Table2[[#This Row],[Width]])</f>
        <v>ユポ80 MD 8GB140</v>
      </c>
    </row>
    <row r="164" spans="1:9">
      <c r="A164" s="31" t="s">
        <v>330</v>
      </c>
      <c r="B164" s="32" t="s">
        <v>403</v>
      </c>
      <c r="C164" s="32">
        <v>140</v>
      </c>
      <c r="D164" s="32">
        <v>600</v>
      </c>
      <c r="E164" s="32">
        <v>1</v>
      </c>
      <c r="F164" s="32">
        <f t="shared" si="31"/>
        <v>600</v>
      </c>
      <c r="G164" s="32">
        <v>600</v>
      </c>
      <c r="H164" s="32">
        <f t="shared" si="32"/>
        <v>0</v>
      </c>
      <c r="I164" s="9" t="str">
        <f>CONCATENATE(Table2[[#This Row],[Specs]],Table2[[#This Row],[Width]])</f>
        <v>ユポ80 MD 8GB140</v>
      </c>
    </row>
    <row r="165" spans="1:9">
      <c r="A165" s="31" t="s">
        <v>330</v>
      </c>
      <c r="B165" s="32" t="s">
        <v>403</v>
      </c>
      <c r="C165" s="32">
        <v>185</v>
      </c>
      <c r="D165" s="32">
        <v>600</v>
      </c>
      <c r="E165" s="32">
        <v>1</v>
      </c>
      <c r="F165" s="32">
        <f t="shared" si="31"/>
        <v>600</v>
      </c>
      <c r="G165" s="32">
        <v>600</v>
      </c>
      <c r="H165" s="32">
        <f t="shared" si="32"/>
        <v>0</v>
      </c>
      <c r="I165" s="9" t="str">
        <f>CONCATENATE(Table2[[#This Row],[Specs]],Table2[[#This Row],[Width]])</f>
        <v>ユポ80 MD 8GB185</v>
      </c>
    </row>
    <row r="166" spans="1:9">
      <c r="A166" s="31" t="s">
        <v>332</v>
      </c>
      <c r="B166" s="32" t="s">
        <v>403</v>
      </c>
      <c r="C166" s="32">
        <v>125</v>
      </c>
      <c r="D166" s="32">
        <v>600</v>
      </c>
      <c r="E166" s="32">
        <v>1</v>
      </c>
      <c r="F166" s="32">
        <f t="shared" si="31"/>
        <v>600</v>
      </c>
      <c r="G166" s="32">
        <v>600</v>
      </c>
      <c r="H166" s="32">
        <f t="shared" si="32"/>
        <v>0</v>
      </c>
      <c r="I166" s="9" t="str">
        <f>CONCATENATE(Table2[[#This Row],[Specs]],Table2[[#This Row],[Width]])</f>
        <v>ユポ80 MD 8GB125</v>
      </c>
    </row>
    <row r="167" spans="1:9">
      <c r="A167" s="31" t="s">
        <v>332</v>
      </c>
      <c r="B167" s="32" t="s">
        <v>403</v>
      </c>
      <c r="C167" s="32">
        <v>165</v>
      </c>
      <c r="D167" s="32">
        <v>600</v>
      </c>
      <c r="E167" s="32">
        <v>1</v>
      </c>
      <c r="F167" s="32">
        <f t="shared" si="31"/>
        <v>600</v>
      </c>
      <c r="G167" s="32">
        <v>600</v>
      </c>
      <c r="H167" s="32">
        <f t="shared" si="32"/>
        <v>0</v>
      </c>
      <c r="I167" s="9" t="str">
        <f>CONCATENATE(Table2[[#This Row],[Specs]],Table2[[#This Row],[Width]])</f>
        <v>ユポ80 MD 8GB165</v>
      </c>
    </row>
    <row r="168" spans="1:9">
      <c r="A168" s="31" t="s">
        <v>332</v>
      </c>
      <c r="B168" s="32" t="s">
        <v>403</v>
      </c>
      <c r="C168" s="32">
        <v>165</v>
      </c>
      <c r="D168" s="32">
        <v>600</v>
      </c>
      <c r="E168" s="32">
        <v>1</v>
      </c>
      <c r="F168" s="32">
        <f t="shared" si="31"/>
        <v>600</v>
      </c>
      <c r="G168" s="32">
        <v>600</v>
      </c>
      <c r="H168" s="32">
        <f t="shared" si="32"/>
        <v>0</v>
      </c>
      <c r="I168" s="9" t="str">
        <f>CONCATENATE(Table2[[#This Row],[Specs]],Table2[[#This Row],[Width]])</f>
        <v>ユポ80 MD 8GB165</v>
      </c>
    </row>
    <row r="169" spans="1:9">
      <c r="A169" s="31" t="s">
        <v>332</v>
      </c>
      <c r="B169" s="32" t="s">
        <v>403</v>
      </c>
      <c r="C169" s="32">
        <v>165</v>
      </c>
      <c r="D169" s="32">
        <v>600</v>
      </c>
      <c r="E169" s="32">
        <v>1</v>
      </c>
      <c r="F169" s="32">
        <f t="shared" si="31"/>
        <v>600</v>
      </c>
      <c r="G169" s="32">
        <v>600</v>
      </c>
      <c r="H169" s="32">
        <f t="shared" si="32"/>
        <v>0</v>
      </c>
      <c r="I169" s="9" t="str">
        <f>CONCATENATE(Table2[[#This Row],[Specs]],Table2[[#This Row],[Width]])</f>
        <v>ユポ80 MD 8GB165</v>
      </c>
    </row>
    <row r="170" spans="1:9">
      <c r="A170" s="31" t="s">
        <v>334</v>
      </c>
      <c r="B170" s="32" t="s">
        <v>400</v>
      </c>
      <c r="C170" s="32">
        <v>160</v>
      </c>
      <c r="D170" s="32">
        <v>600</v>
      </c>
      <c r="E170" s="32">
        <v>1</v>
      </c>
      <c r="F170" s="32">
        <f t="shared" si="31"/>
        <v>600</v>
      </c>
      <c r="G170" s="32">
        <v>600</v>
      </c>
      <c r="H170" s="32">
        <f t="shared" si="32"/>
        <v>0</v>
      </c>
      <c r="I170" s="9" t="str">
        <f>CONCATENATE(Table2[[#This Row],[Specs]],Table2[[#This Row],[Width]])</f>
        <v>上質&lt;70&gt; ME 7GB160</v>
      </c>
    </row>
    <row r="171" spans="1:9">
      <c r="A171" s="31" t="s">
        <v>334</v>
      </c>
      <c r="B171" s="32" t="s">
        <v>400</v>
      </c>
      <c r="C171" s="32">
        <v>160</v>
      </c>
      <c r="D171" s="32">
        <v>600</v>
      </c>
      <c r="E171" s="32">
        <v>1</v>
      </c>
      <c r="F171" s="32">
        <f t="shared" ref="F171:F178" si="33">E171*D171</f>
        <v>600</v>
      </c>
      <c r="G171" s="32">
        <v>600</v>
      </c>
      <c r="H171" s="32">
        <f t="shared" ref="H171:H178" si="34">F171-G171</f>
        <v>0</v>
      </c>
      <c r="I171" s="9" t="str">
        <f>CONCATENATE(Table2[[#This Row],[Specs]],Table2[[#This Row],[Width]])</f>
        <v>上質&lt;70&gt; ME 7GB160</v>
      </c>
    </row>
    <row r="172" spans="1:9">
      <c r="A172" s="31" t="s">
        <v>335</v>
      </c>
      <c r="B172" s="32" t="s">
        <v>403</v>
      </c>
      <c r="C172" s="32">
        <v>185</v>
      </c>
      <c r="D172" s="32">
        <v>600</v>
      </c>
      <c r="E172" s="32">
        <v>1</v>
      </c>
      <c r="F172" s="32">
        <f t="shared" si="33"/>
        <v>600</v>
      </c>
      <c r="G172" s="32">
        <v>600</v>
      </c>
      <c r="H172" s="32">
        <f t="shared" si="34"/>
        <v>0</v>
      </c>
      <c r="I172" s="9" t="str">
        <f>CONCATENATE(Table2[[#This Row],[Specs]],Table2[[#This Row],[Width]])</f>
        <v>ユポ80 MD 8GB185</v>
      </c>
    </row>
    <row r="173" spans="1:9">
      <c r="A173" s="31" t="s">
        <v>335</v>
      </c>
      <c r="B173" s="32" t="s">
        <v>403</v>
      </c>
      <c r="C173" s="32">
        <v>125</v>
      </c>
      <c r="D173" s="32">
        <v>600</v>
      </c>
      <c r="E173" s="32">
        <v>1</v>
      </c>
      <c r="F173" s="32">
        <f t="shared" si="33"/>
        <v>600</v>
      </c>
      <c r="G173" s="32">
        <v>600</v>
      </c>
      <c r="H173" s="32">
        <f t="shared" si="34"/>
        <v>0</v>
      </c>
      <c r="I173" s="9" t="str">
        <f>CONCATENATE(Table2[[#This Row],[Specs]],Table2[[#This Row],[Width]])</f>
        <v>ユポ80 MD 8GB125</v>
      </c>
    </row>
    <row r="174" spans="1:9">
      <c r="A174" s="31" t="s">
        <v>335</v>
      </c>
      <c r="B174" s="32" t="s">
        <v>258</v>
      </c>
      <c r="C174" s="32">
        <v>210</v>
      </c>
      <c r="D174" s="32">
        <v>1000</v>
      </c>
      <c r="E174" s="32">
        <v>1</v>
      </c>
      <c r="F174" s="32">
        <f t="shared" si="33"/>
        <v>1000</v>
      </c>
      <c r="G174" s="32">
        <v>1000</v>
      </c>
      <c r="H174" s="32">
        <f t="shared" si="34"/>
        <v>0</v>
      </c>
      <c r="I174" s="9" t="str">
        <f>CONCATENATE(Table2[[#This Row],[Specs]],Table2[[#This Row],[Width]])</f>
        <v>TWF55P16U5W210</v>
      </c>
    </row>
    <row r="175" spans="1:9">
      <c r="A175" s="31" t="s">
        <v>335</v>
      </c>
      <c r="B175" s="32" t="s">
        <v>258</v>
      </c>
      <c r="C175" s="32">
        <v>210</v>
      </c>
      <c r="D175" s="32">
        <v>1000</v>
      </c>
      <c r="E175" s="32">
        <v>1</v>
      </c>
      <c r="F175" s="32">
        <f t="shared" si="33"/>
        <v>1000</v>
      </c>
      <c r="G175" s="32">
        <v>1000</v>
      </c>
      <c r="H175" s="32">
        <f t="shared" si="34"/>
        <v>0</v>
      </c>
      <c r="I175" s="9" t="str">
        <f>CONCATENATE(Table2[[#This Row],[Specs]],Table2[[#This Row],[Width]])</f>
        <v>TWF55P16U5W210</v>
      </c>
    </row>
    <row r="176" spans="1:9">
      <c r="A176" s="31" t="s">
        <v>335</v>
      </c>
      <c r="B176" s="32" t="s">
        <v>411</v>
      </c>
      <c r="C176" s="32">
        <v>90</v>
      </c>
      <c r="D176" s="32">
        <v>600</v>
      </c>
      <c r="E176" s="32">
        <v>1</v>
      </c>
      <c r="F176" s="32">
        <f t="shared" si="33"/>
        <v>600</v>
      </c>
      <c r="G176" s="32"/>
      <c r="H176" s="32">
        <f t="shared" si="34"/>
        <v>600</v>
      </c>
      <c r="I176" s="9" t="str">
        <f>CONCATENATE(Table2[[#This Row],[Specs]],Table2[[#This Row],[Width]])</f>
        <v>キャスト&lt;73&gt;ME80E -a90</v>
      </c>
    </row>
    <row r="177" spans="1:9">
      <c r="A177" s="31" t="s">
        <v>335</v>
      </c>
      <c r="B177" s="32" t="s">
        <v>411</v>
      </c>
      <c r="C177" s="32">
        <v>90</v>
      </c>
      <c r="D177" s="32">
        <v>600</v>
      </c>
      <c r="E177" s="32">
        <v>1</v>
      </c>
      <c r="F177" s="32">
        <f t="shared" si="33"/>
        <v>600</v>
      </c>
      <c r="G177" s="32"/>
      <c r="H177" s="32">
        <f t="shared" si="34"/>
        <v>600</v>
      </c>
      <c r="I177" s="9" t="str">
        <f>CONCATENATE(Table2[[#This Row],[Specs]],Table2[[#This Row],[Width]])</f>
        <v>キャスト&lt;73&gt;ME80E -a90</v>
      </c>
    </row>
    <row r="178" spans="1:9">
      <c r="A178" s="31" t="s">
        <v>336</v>
      </c>
      <c r="B178" s="32" t="s">
        <v>403</v>
      </c>
      <c r="C178" s="32">
        <v>215</v>
      </c>
      <c r="D178" s="32">
        <v>600</v>
      </c>
      <c r="E178" s="32">
        <v>1</v>
      </c>
      <c r="F178" s="32">
        <f t="shared" si="33"/>
        <v>600</v>
      </c>
      <c r="G178" s="32">
        <v>600</v>
      </c>
      <c r="H178" s="32">
        <f t="shared" si="34"/>
        <v>0</v>
      </c>
      <c r="I178" s="9" t="str">
        <f>CONCATENATE(Table2[[#This Row],[Specs]],Table2[[#This Row],[Width]])</f>
        <v>ユポ80 MD 8GB215</v>
      </c>
    </row>
    <row r="179" spans="1:9">
      <c r="A179" s="31" t="s">
        <v>338</v>
      </c>
      <c r="B179" s="32" t="s">
        <v>403</v>
      </c>
      <c r="C179" s="32">
        <v>155</v>
      </c>
      <c r="D179" s="32">
        <v>600</v>
      </c>
      <c r="E179" s="32">
        <v>1</v>
      </c>
      <c r="F179" s="32">
        <f t="shared" ref="F179:F187" si="35">E179*D179</f>
        <v>600</v>
      </c>
      <c r="G179" s="32">
        <v>600</v>
      </c>
      <c r="H179" s="32">
        <f t="shared" ref="H179:H187" si="36">F179-G179</f>
        <v>0</v>
      </c>
      <c r="I179" s="9" t="str">
        <f>CONCATENATE(Table2[[#This Row],[Specs]],Table2[[#This Row],[Width]])</f>
        <v>ユポ80 MD 8GB155</v>
      </c>
    </row>
    <row r="180" spans="1:9">
      <c r="A180" s="31" t="s">
        <v>336</v>
      </c>
      <c r="B180" s="32" t="s">
        <v>403</v>
      </c>
      <c r="C180" s="32">
        <v>155</v>
      </c>
      <c r="D180" s="32">
        <v>600</v>
      </c>
      <c r="E180" s="32">
        <v>1</v>
      </c>
      <c r="F180" s="32">
        <f t="shared" si="35"/>
        <v>600</v>
      </c>
      <c r="G180" s="32">
        <v>600</v>
      </c>
      <c r="H180" s="32">
        <f t="shared" si="36"/>
        <v>0</v>
      </c>
      <c r="I180" s="9" t="str">
        <f>CONCATENATE(Table2[[#This Row],[Specs]],Table2[[#This Row],[Width]])</f>
        <v>ユポ80 MD 8GB155</v>
      </c>
    </row>
    <row r="181" spans="1:9">
      <c r="A181" s="31" t="s">
        <v>339</v>
      </c>
      <c r="B181" s="32" t="s">
        <v>403</v>
      </c>
      <c r="C181" s="32">
        <v>125</v>
      </c>
      <c r="D181" s="32">
        <v>600</v>
      </c>
      <c r="E181" s="32">
        <v>1</v>
      </c>
      <c r="F181" s="32">
        <f t="shared" si="35"/>
        <v>600</v>
      </c>
      <c r="G181" s="32">
        <v>600</v>
      </c>
      <c r="H181" s="32">
        <f t="shared" si="36"/>
        <v>0</v>
      </c>
      <c r="I181" s="9" t="str">
        <f>CONCATENATE(Table2[[#This Row],[Specs]],Table2[[#This Row],[Width]])</f>
        <v>ユポ80 MD 8GB125</v>
      </c>
    </row>
    <row r="182" spans="1:9">
      <c r="A182" s="31" t="s">
        <v>339</v>
      </c>
      <c r="B182" s="32" t="s">
        <v>403</v>
      </c>
      <c r="C182" s="32">
        <v>165</v>
      </c>
      <c r="D182" s="32">
        <v>600</v>
      </c>
      <c r="E182" s="32">
        <v>1</v>
      </c>
      <c r="F182" s="32">
        <f t="shared" si="35"/>
        <v>600</v>
      </c>
      <c r="G182" s="32">
        <v>600</v>
      </c>
      <c r="H182" s="32">
        <f t="shared" si="36"/>
        <v>0</v>
      </c>
      <c r="I182" s="9" t="str">
        <f>CONCATENATE(Table2[[#This Row],[Specs]],Table2[[#This Row],[Width]])</f>
        <v>ユポ80 MD 8GB165</v>
      </c>
    </row>
    <row r="183" spans="1:9">
      <c r="A183" s="31" t="s">
        <v>340</v>
      </c>
      <c r="B183" s="32" t="s">
        <v>406</v>
      </c>
      <c r="C183" s="32">
        <v>100</v>
      </c>
      <c r="D183" s="32">
        <v>600</v>
      </c>
      <c r="E183" s="32">
        <v>1</v>
      </c>
      <c r="F183" s="32">
        <f t="shared" si="35"/>
        <v>600</v>
      </c>
      <c r="G183" s="32"/>
      <c r="H183" s="32">
        <f t="shared" si="36"/>
        <v>600</v>
      </c>
      <c r="I183" s="9" t="str">
        <f>CONCATENATE(Table2[[#This Row],[Specs]],Table2[[#This Row],[Width]])</f>
        <v xml:space="preserve"> 上質&lt;55&gt;ME 7GB100</v>
      </c>
    </row>
    <row r="184" spans="1:9">
      <c r="A184" s="31" t="s">
        <v>340</v>
      </c>
      <c r="B184" s="32" t="s">
        <v>406</v>
      </c>
      <c r="C184" s="32">
        <v>100</v>
      </c>
      <c r="D184" s="32">
        <v>600</v>
      </c>
      <c r="E184" s="32">
        <v>1</v>
      </c>
      <c r="F184" s="32">
        <f t="shared" si="35"/>
        <v>600</v>
      </c>
      <c r="G184" s="32"/>
      <c r="H184" s="32">
        <f t="shared" si="36"/>
        <v>600</v>
      </c>
      <c r="I184" s="9" t="str">
        <f>CONCATENATE(Table2[[#This Row],[Specs]],Table2[[#This Row],[Width]])</f>
        <v xml:space="preserve"> 上質&lt;55&gt;ME 7GB100</v>
      </c>
    </row>
    <row r="185" spans="1:9">
      <c r="A185" s="31" t="s">
        <v>341</v>
      </c>
      <c r="B185" s="32" t="s">
        <v>403</v>
      </c>
      <c r="C185" s="32">
        <v>185</v>
      </c>
      <c r="D185" s="32">
        <v>600</v>
      </c>
      <c r="E185" s="32">
        <v>1</v>
      </c>
      <c r="F185" s="32">
        <f t="shared" si="35"/>
        <v>600</v>
      </c>
      <c r="G185" s="32">
        <v>600</v>
      </c>
      <c r="H185" s="32">
        <f t="shared" si="36"/>
        <v>0</v>
      </c>
      <c r="I185" s="9" t="str">
        <f>CONCATENATE(Table2[[#This Row],[Specs]],Table2[[#This Row],[Width]])</f>
        <v>ユポ80 MD 8GB185</v>
      </c>
    </row>
    <row r="186" spans="1:9">
      <c r="A186" s="31" t="s">
        <v>342</v>
      </c>
      <c r="B186" s="32" t="s">
        <v>403</v>
      </c>
      <c r="C186" s="32">
        <v>155</v>
      </c>
      <c r="D186" s="32">
        <v>600</v>
      </c>
      <c r="E186" s="32">
        <v>1</v>
      </c>
      <c r="F186" s="32">
        <f t="shared" si="35"/>
        <v>600</v>
      </c>
      <c r="G186" s="32">
        <v>600</v>
      </c>
      <c r="H186" s="32">
        <f t="shared" si="36"/>
        <v>0</v>
      </c>
      <c r="I186" s="9" t="str">
        <f>CONCATENATE(Table2[[#This Row],[Specs]],Table2[[#This Row],[Width]])</f>
        <v>ユポ80 MD 8GB155</v>
      </c>
    </row>
    <row r="187" spans="1:9">
      <c r="A187" s="31" t="s">
        <v>343</v>
      </c>
      <c r="B187" s="32" t="s">
        <v>403</v>
      </c>
      <c r="C187" s="32">
        <v>140</v>
      </c>
      <c r="D187" s="32">
        <v>600</v>
      </c>
      <c r="E187" s="32">
        <v>1</v>
      </c>
      <c r="F187" s="32">
        <f t="shared" si="35"/>
        <v>600</v>
      </c>
      <c r="G187" s="32">
        <v>600</v>
      </c>
      <c r="H187" s="32">
        <f t="shared" si="36"/>
        <v>0</v>
      </c>
      <c r="I187" s="9" t="str">
        <f>CONCATENATE(Table2[[#This Row],[Specs]],Table2[[#This Row],[Width]])</f>
        <v>ユポ80 MD 8GB140</v>
      </c>
    </row>
    <row r="188" spans="1:9">
      <c r="A188" s="31" t="s">
        <v>343</v>
      </c>
      <c r="B188" s="32" t="s">
        <v>403</v>
      </c>
      <c r="C188" s="32">
        <v>165</v>
      </c>
      <c r="D188" s="32">
        <v>600</v>
      </c>
      <c r="E188" s="32">
        <v>1</v>
      </c>
      <c r="F188" s="32">
        <f t="shared" ref="F188:F193" si="37">E188*D188</f>
        <v>600</v>
      </c>
      <c r="G188" s="32">
        <v>600</v>
      </c>
      <c r="H188" s="32">
        <f t="shared" ref="H188:H193" si="38">F188-G188</f>
        <v>0</v>
      </c>
      <c r="I188" s="9" t="str">
        <f>CONCATENATE(Table2[[#This Row],[Specs]],Table2[[#This Row],[Width]])</f>
        <v>ユポ80 MD 8GB165</v>
      </c>
    </row>
    <row r="189" spans="1:9">
      <c r="A189" s="31" t="s">
        <v>343</v>
      </c>
      <c r="B189" s="32" t="s">
        <v>403</v>
      </c>
      <c r="C189" s="32">
        <v>165</v>
      </c>
      <c r="D189" s="32">
        <v>600</v>
      </c>
      <c r="E189" s="32">
        <v>1</v>
      </c>
      <c r="F189" s="32">
        <f t="shared" si="37"/>
        <v>600</v>
      </c>
      <c r="G189" s="32">
        <v>600</v>
      </c>
      <c r="H189" s="32">
        <f t="shared" si="38"/>
        <v>0</v>
      </c>
      <c r="I189" s="9" t="str">
        <f>CONCATENATE(Table2[[#This Row],[Specs]],Table2[[#This Row],[Width]])</f>
        <v>ユポ80 MD 8GB165</v>
      </c>
    </row>
    <row r="190" spans="1:9">
      <c r="A190" s="31" t="s">
        <v>343</v>
      </c>
      <c r="B190" s="32" t="s">
        <v>403</v>
      </c>
      <c r="C190" s="32">
        <v>140</v>
      </c>
      <c r="D190" s="32">
        <v>600</v>
      </c>
      <c r="E190" s="32">
        <v>1</v>
      </c>
      <c r="F190" s="32">
        <f t="shared" si="37"/>
        <v>600</v>
      </c>
      <c r="G190" s="32">
        <v>600</v>
      </c>
      <c r="H190" s="32">
        <f t="shared" si="38"/>
        <v>0</v>
      </c>
      <c r="I190" s="9" t="str">
        <f>CONCATENATE(Table2[[#This Row],[Specs]],Table2[[#This Row],[Width]])</f>
        <v>ユポ80 MD 8GB140</v>
      </c>
    </row>
    <row r="191" spans="1:9">
      <c r="A191" s="31" t="s">
        <v>344</v>
      </c>
      <c r="B191" s="32" t="s">
        <v>346</v>
      </c>
      <c r="C191" s="32">
        <v>105</v>
      </c>
      <c r="D191" s="32">
        <v>400</v>
      </c>
      <c r="E191" s="32">
        <v>1</v>
      </c>
      <c r="F191" s="32">
        <f t="shared" si="37"/>
        <v>400</v>
      </c>
      <c r="G191" s="32"/>
      <c r="H191" s="32">
        <f t="shared" si="38"/>
        <v>400</v>
      </c>
      <c r="I191" s="9" t="str">
        <f>CONCATENATE(Table2[[#This Row],[Specs]],Table2[[#This Row],[Width]])</f>
        <v>アート＜７３＞メモリー　訂正 80H105</v>
      </c>
    </row>
    <row r="192" spans="1:9">
      <c r="A192" s="31" t="s">
        <v>344</v>
      </c>
      <c r="B192" s="32" t="s">
        <v>346</v>
      </c>
      <c r="C192" s="32">
        <v>105</v>
      </c>
      <c r="D192" s="32">
        <v>400</v>
      </c>
      <c r="E192" s="32">
        <v>1</v>
      </c>
      <c r="F192" s="32">
        <f t="shared" si="37"/>
        <v>400</v>
      </c>
      <c r="G192" s="32"/>
      <c r="H192" s="32">
        <f t="shared" si="38"/>
        <v>400</v>
      </c>
      <c r="I192" s="9" t="str">
        <f>CONCATENATE(Table2[[#This Row],[Specs]],Table2[[#This Row],[Width]])</f>
        <v>アート＜７３＞メモリー　訂正 80H105</v>
      </c>
    </row>
    <row r="193" spans="1:9">
      <c r="A193" s="31" t="s">
        <v>344</v>
      </c>
      <c r="B193" s="32" t="s">
        <v>346</v>
      </c>
      <c r="C193" s="32">
        <v>105</v>
      </c>
      <c r="D193" s="32">
        <v>400</v>
      </c>
      <c r="E193" s="32">
        <v>1</v>
      </c>
      <c r="F193" s="32">
        <f t="shared" si="37"/>
        <v>400</v>
      </c>
      <c r="G193" s="32"/>
      <c r="H193" s="32">
        <f t="shared" si="38"/>
        <v>400</v>
      </c>
      <c r="I193" s="9" t="str">
        <f>CONCATENATE(Table2[[#This Row],[Specs]],Table2[[#This Row],[Width]])</f>
        <v>アート＜７３＞メモリー　訂正 80H105</v>
      </c>
    </row>
    <row r="194" spans="1:9">
      <c r="A194" s="31" t="s">
        <v>347</v>
      </c>
      <c r="B194" s="32" t="s">
        <v>412</v>
      </c>
      <c r="C194" s="32">
        <v>90</v>
      </c>
      <c r="D194" s="32">
        <v>600</v>
      </c>
      <c r="E194" s="32">
        <v>1</v>
      </c>
      <c r="F194" s="32">
        <f t="shared" ref="F194:F201" si="39">E194*D194</f>
        <v>600</v>
      </c>
      <c r="G194" s="32">
        <v>600</v>
      </c>
      <c r="H194" s="32">
        <f t="shared" ref="H194:H200" si="40">F194-G194</f>
        <v>0</v>
      </c>
      <c r="I194" s="9" t="str">
        <f>CONCATENATE(Table2[[#This Row],[Specs]],Table2[[#This Row],[Width]])</f>
        <v>キャスト&lt;73&gt;ME80E 90</v>
      </c>
    </row>
    <row r="195" spans="1:9">
      <c r="A195" s="31" t="s">
        <v>347</v>
      </c>
      <c r="B195" s="32" t="s">
        <v>412</v>
      </c>
      <c r="C195" s="32">
        <v>90</v>
      </c>
      <c r="D195" s="32">
        <v>600</v>
      </c>
      <c r="E195" s="32">
        <v>1</v>
      </c>
      <c r="F195" s="32">
        <f t="shared" si="39"/>
        <v>600</v>
      </c>
      <c r="G195" s="32">
        <v>600</v>
      </c>
      <c r="H195" s="32">
        <f t="shared" si="40"/>
        <v>0</v>
      </c>
      <c r="I195" s="9" t="str">
        <f>CONCATENATE(Table2[[#This Row],[Specs]],Table2[[#This Row],[Width]])</f>
        <v>キャスト&lt;73&gt;ME80E 90</v>
      </c>
    </row>
    <row r="196" spans="1:9">
      <c r="A196" s="31" t="s">
        <v>348</v>
      </c>
      <c r="B196" s="32" t="s">
        <v>403</v>
      </c>
      <c r="C196" s="32">
        <v>90</v>
      </c>
      <c r="D196" s="32">
        <v>600</v>
      </c>
      <c r="E196" s="32">
        <v>1</v>
      </c>
      <c r="F196" s="32">
        <f t="shared" si="39"/>
        <v>600</v>
      </c>
      <c r="G196" s="32"/>
      <c r="H196" s="32">
        <f t="shared" si="40"/>
        <v>600</v>
      </c>
      <c r="I196" s="9" t="str">
        <f>CONCATENATE(Table2[[#This Row],[Specs]],Table2[[#This Row],[Width]])</f>
        <v>ユポ80 MD 8GB90</v>
      </c>
    </row>
    <row r="197" spans="1:9">
      <c r="A197" s="31" t="s">
        <v>348</v>
      </c>
      <c r="B197" s="32" t="s">
        <v>403</v>
      </c>
      <c r="C197" s="32">
        <v>140</v>
      </c>
      <c r="D197" s="32">
        <v>600</v>
      </c>
      <c r="E197" s="32">
        <v>1</v>
      </c>
      <c r="F197" s="32">
        <f t="shared" si="39"/>
        <v>600</v>
      </c>
      <c r="G197" s="32">
        <v>600</v>
      </c>
      <c r="H197" s="32">
        <f t="shared" si="40"/>
        <v>0</v>
      </c>
      <c r="I197" s="9" t="str">
        <f>CONCATENATE(Table2[[#This Row],[Specs]],Table2[[#This Row],[Width]])</f>
        <v>ユポ80 MD 8GB140</v>
      </c>
    </row>
    <row r="198" spans="1:9">
      <c r="A198" s="31" t="s">
        <v>349</v>
      </c>
      <c r="B198" s="32" t="s">
        <v>403</v>
      </c>
      <c r="C198" s="32">
        <v>185</v>
      </c>
      <c r="D198" s="32">
        <v>600</v>
      </c>
      <c r="E198" s="32">
        <v>1</v>
      </c>
      <c r="F198" s="32">
        <f t="shared" si="39"/>
        <v>600</v>
      </c>
      <c r="G198" s="32">
        <v>600</v>
      </c>
      <c r="H198" s="32">
        <f t="shared" si="40"/>
        <v>0</v>
      </c>
      <c r="I198" s="9" t="str">
        <f>CONCATENATE(Table2[[#This Row],[Specs]],Table2[[#This Row],[Width]])</f>
        <v>ユポ80 MD 8GB185</v>
      </c>
    </row>
    <row r="199" spans="1:9">
      <c r="A199" s="31" t="s">
        <v>349</v>
      </c>
      <c r="B199" s="32" t="s">
        <v>403</v>
      </c>
      <c r="C199" s="32">
        <v>165</v>
      </c>
      <c r="D199" s="32">
        <v>600</v>
      </c>
      <c r="E199" s="32">
        <v>1</v>
      </c>
      <c r="F199" s="32">
        <f t="shared" si="39"/>
        <v>600</v>
      </c>
      <c r="G199" s="32">
        <v>600</v>
      </c>
      <c r="H199" s="32">
        <f t="shared" si="40"/>
        <v>0</v>
      </c>
      <c r="I199" s="9" t="str">
        <f>CONCATENATE(Table2[[#This Row],[Specs]],Table2[[#This Row],[Width]])</f>
        <v>ユポ80 MD 8GB165</v>
      </c>
    </row>
    <row r="200" spans="1:9">
      <c r="A200" s="31" t="s">
        <v>350</v>
      </c>
      <c r="B200" s="32" t="s">
        <v>403</v>
      </c>
      <c r="C200" s="32">
        <v>165</v>
      </c>
      <c r="D200" s="32">
        <v>600</v>
      </c>
      <c r="E200" s="32">
        <v>1</v>
      </c>
      <c r="F200" s="32">
        <f t="shared" si="39"/>
        <v>600</v>
      </c>
      <c r="G200" s="32">
        <v>600</v>
      </c>
      <c r="H200" s="32">
        <f t="shared" si="40"/>
        <v>0</v>
      </c>
      <c r="I200" s="9" t="str">
        <f>CONCATENATE(Table2[[#This Row],[Specs]],Table2[[#This Row],[Width]])</f>
        <v>ユポ80 MD 8GB165</v>
      </c>
    </row>
    <row r="201" spans="1:9">
      <c r="A201" s="31" t="s">
        <v>350</v>
      </c>
      <c r="B201" s="32" t="s">
        <v>403</v>
      </c>
      <c r="C201" s="32">
        <v>165</v>
      </c>
      <c r="D201" s="32">
        <v>600</v>
      </c>
      <c r="E201" s="32">
        <v>1</v>
      </c>
      <c r="F201" s="32">
        <f t="shared" si="39"/>
        <v>600</v>
      </c>
      <c r="G201" s="32">
        <v>600</v>
      </c>
      <c r="H201" s="32">
        <f t="shared" ref="H201:H207" si="41">F201-G201</f>
        <v>0</v>
      </c>
      <c r="I201" s="9" t="str">
        <f>CONCATENATE(Table2[[#This Row],[Specs]],Table2[[#This Row],[Width]])</f>
        <v>ユポ80 MD 8GB165</v>
      </c>
    </row>
    <row r="202" spans="1:9">
      <c r="A202" s="31" t="s">
        <v>351</v>
      </c>
      <c r="B202" s="32" t="s">
        <v>403</v>
      </c>
      <c r="C202" s="32">
        <v>125</v>
      </c>
      <c r="D202" s="32">
        <v>600</v>
      </c>
      <c r="E202" s="32">
        <v>1</v>
      </c>
      <c r="F202" s="32">
        <f t="shared" ref="F202:F207" si="42">E202*D202</f>
        <v>600</v>
      </c>
      <c r="G202" s="32">
        <v>600</v>
      </c>
      <c r="H202" s="32">
        <f t="shared" si="41"/>
        <v>0</v>
      </c>
      <c r="I202" s="9" t="str">
        <f>CONCATENATE(Table2[[#This Row],[Specs]],Table2[[#This Row],[Width]])</f>
        <v>ユポ80 MD 8GB125</v>
      </c>
    </row>
    <row r="203" spans="1:9">
      <c r="A203" s="31" t="s">
        <v>352</v>
      </c>
      <c r="B203" s="32" t="s">
        <v>403</v>
      </c>
      <c r="C203" s="32">
        <v>165</v>
      </c>
      <c r="D203" s="32">
        <v>600</v>
      </c>
      <c r="E203" s="32">
        <v>1</v>
      </c>
      <c r="F203" s="32">
        <f t="shared" si="42"/>
        <v>600</v>
      </c>
      <c r="G203" s="32">
        <v>600</v>
      </c>
      <c r="H203" s="32">
        <f t="shared" si="41"/>
        <v>0</v>
      </c>
      <c r="I203" s="9" t="str">
        <f>CONCATENATE(Table2[[#This Row],[Specs]],Table2[[#This Row],[Width]])</f>
        <v>ユポ80 MD 8GB165</v>
      </c>
    </row>
    <row r="204" spans="1:9">
      <c r="A204" s="31" t="s">
        <v>352</v>
      </c>
      <c r="B204" s="32" t="s">
        <v>403</v>
      </c>
      <c r="C204" s="32">
        <v>165</v>
      </c>
      <c r="D204" s="32">
        <v>600</v>
      </c>
      <c r="E204" s="32">
        <v>1</v>
      </c>
      <c r="F204" s="32">
        <f t="shared" si="42"/>
        <v>600</v>
      </c>
      <c r="G204" s="32">
        <v>600</v>
      </c>
      <c r="H204" s="32">
        <f t="shared" si="41"/>
        <v>0</v>
      </c>
      <c r="I204" s="9" t="str">
        <f>CONCATENATE(Table2[[#This Row],[Specs]],Table2[[#This Row],[Width]])</f>
        <v>ユポ80 MD 8GB165</v>
      </c>
    </row>
    <row r="205" spans="1:9">
      <c r="A205" s="31" t="s">
        <v>352</v>
      </c>
      <c r="B205" s="32" t="s">
        <v>403</v>
      </c>
      <c r="C205" s="32">
        <v>155</v>
      </c>
      <c r="D205" s="32">
        <v>600</v>
      </c>
      <c r="E205" s="32">
        <v>1</v>
      </c>
      <c r="F205" s="32">
        <f t="shared" si="42"/>
        <v>600</v>
      </c>
      <c r="G205" s="32">
        <v>600</v>
      </c>
      <c r="H205" s="32">
        <f t="shared" si="41"/>
        <v>0</v>
      </c>
      <c r="I205" s="9" t="str">
        <f>CONCATENATE(Table2[[#This Row],[Specs]],Table2[[#This Row],[Width]])</f>
        <v>ユポ80 MD 8GB155</v>
      </c>
    </row>
    <row r="206" spans="1:9">
      <c r="A206" s="31" t="s">
        <v>352</v>
      </c>
      <c r="B206" s="32" t="s">
        <v>403</v>
      </c>
      <c r="C206" s="32">
        <v>165</v>
      </c>
      <c r="D206" s="32">
        <v>600</v>
      </c>
      <c r="E206" s="32">
        <v>1</v>
      </c>
      <c r="F206" s="32">
        <f t="shared" si="42"/>
        <v>600</v>
      </c>
      <c r="G206" s="32">
        <v>600</v>
      </c>
      <c r="H206" s="32">
        <f t="shared" si="41"/>
        <v>0</v>
      </c>
      <c r="I206" s="9" t="str">
        <f>CONCATENATE(Table2[[#This Row],[Specs]],Table2[[#This Row],[Width]])</f>
        <v>ユポ80 MD 8GB165</v>
      </c>
    </row>
    <row r="207" spans="1:9">
      <c r="A207" s="31" t="s">
        <v>353</v>
      </c>
      <c r="B207" s="32" t="s">
        <v>400</v>
      </c>
      <c r="C207" s="32">
        <v>155</v>
      </c>
      <c r="D207" s="32">
        <v>600</v>
      </c>
      <c r="E207" s="32">
        <v>1</v>
      </c>
      <c r="F207" s="32">
        <f t="shared" si="42"/>
        <v>600</v>
      </c>
      <c r="G207" s="32"/>
      <c r="H207" s="32">
        <f t="shared" si="41"/>
        <v>600</v>
      </c>
      <c r="I207" s="9" t="str">
        <f>CONCATENATE(Table2[[#This Row],[Specs]],Table2[[#This Row],[Width]])</f>
        <v>上質&lt;70&gt; ME 7GB155</v>
      </c>
    </row>
    <row r="208" spans="1:9">
      <c r="A208" s="31" t="s">
        <v>405</v>
      </c>
      <c r="B208" s="32" t="s">
        <v>400</v>
      </c>
      <c r="C208" s="32">
        <v>155</v>
      </c>
      <c r="D208" s="32">
        <v>600</v>
      </c>
      <c r="E208" s="32">
        <v>1</v>
      </c>
      <c r="F208" s="32">
        <f t="shared" ref="F208:F216" si="43">E208*D208</f>
        <v>600</v>
      </c>
      <c r="G208" s="32"/>
      <c r="H208" s="32">
        <f t="shared" ref="H208:H216" si="44">F208-G208</f>
        <v>600</v>
      </c>
      <c r="I208" s="9" t="str">
        <f>CONCATENATE(Table2[[#This Row],[Specs]],Table2[[#This Row],[Width]])</f>
        <v>上質&lt;70&gt; ME 7GB155</v>
      </c>
    </row>
    <row r="209" spans="1:9">
      <c r="A209" s="31" t="s">
        <v>405</v>
      </c>
      <c r="B209" s="32" t="s">
        <v>400</v>
      </c>
      <c r="C209" s="32">
        <v>155</v>
      </c>
      <c r="D209" s="32">
        <v>600</v>
      </c>
      <c r="E209" s="32">
        <v>1</v>
      </c>
      <c r="F209" s="32">
        <f t="shared" si="43"/>
        <v>600</v>
      </c>
      <c r="G209" s="32">
        <v>400</v>
      </c>
      <c r="H209" s="32">
        <f t="shared" si="44"/>
        <v>200</v>
      </c>
      <c r="I209" s="9" t="str">
        <f>CONCATENATE(Table2[[#This Row],[Specs]],Table2[[#This Row],[Width]])</f>
        <v>上質&lt;70&gt; ME 7GB155</v>
      </c>
    </row>
    <row r="210" spans="1:9">
      <c r="A210" s="31" t="s">
        <v>405</v>
      </c>
      <c r="B210" s="32" t="s">
        <v>400</v>
      </c>
      <c r="C210" s="32">
        <v>155</v>
      </c>
      <c r="D210" s="32">
        <v>600</v>
      </c>
      <c r="E210" s="32">
        <v>1</v>
      </c>
      <c r="F210" s="32">
        <f t="shared" si="43"/>
        <v>600</v>
      </c>
      <c r="G210" s="32">
        <v>400</v>
      </c>
      <c r="H210" s="32">
        <f t="shared" si="44"/>
        <v>200</v>
      </c>
      <c r="I210" s="9" t="str">
        <f>CONCATENATE(Table2[[#This Row],[Specs]],Table2[[#This Row],[Width]])</f>
        <v>上質&lt;70&gt; ME 7GB155</v>
      </c>
    </row>
    <row r="211" spans="1:9">
      <c r="A211" s="31" t="s">
        <v>405</v>
      </c>
      <c r="B211" s="32" t="s">
        <v>400</v>
      </c>
      <c r="C211" s="32">
        <v>155</v>
      </c>
      <c r="D211" s="32">
        <v>600</v>
      </c>
      <c r="E211" s="32">
        <v>1</v>
      </c>
      <c r="F211" s="32">
        <f t="shared" si="43"/>
        <v>600</v>
      </c>
      <c r="G211" s="32">
        <v>600</v>
      </c>
      <c r="H211" s="32">
        <f t="shared" si="44"/>
        <v>0</v>
      </c>
      <c r="I211" s="9" t="str">
        <f>CONCATENATE(Table2[[#This Row],[Specs]],Table2[[#This Row],[Width]])</f>
        <v>上質&lt;70&gt; ME 7GB155</v>
      </c>
    </row>
    <row r="212" spans="1:9">
      <c r="A212" s="31" t="s">
        <v>354</v>
      </c>
      <c r="B212" s="32" t="s">
        <v>403</v>
      </c>
      <c r="C212" s="32">
        <v>125</v>
      </c>
      <c r="D212" s="32">
        <v>600</v>
      </c>
      <c r="E212" s="32">
        <v>1</v>
      </c>
      <c r="F212" s="32">
        <f t="shared" si="43"/>
        <v>600</v>
      </c>
      <c r="G212" s="32">
        <v>600</v>
      </c>
      <c r="H212" s="32">
        <f t="shared" si="44"/>
        <v>0</v>
      </c>
      <c r="I212" s="9" t="str">
        <f>CONCATENATE(Table2[[#This Row],[Specs]],Table2[[#This Row],[Width]])</f>
        <v>ユポ80 MD 8GB125</v>
      </c>
    </row>
    <row r="213" spans="1:9">
      <c r="A213" s="31" t="s">
        <v>354</v>
      </c>
      <c r="B213" s="32" t="s">
        <v>403</v>
      </c>
      <c r="C213" s="32">
        <v>155</v>
      </c>
      <c r="D213" s="32">
        <v>600</v>
      </c>
      <c r="E213" s="32">
        <v>1</v>
      </c>
      <c r="F213" s="32">
        <f t="shared" si="43"/>
        <v>600</v>
      </c>
      <c r="G213" s="32">
        <v>600</v>
      </c>
      <c r="H213" s="32">
        <f t="shared" si="44"/>
        <v>0</v>
      </c>
      <c r="I213" s="9" t="str">
        <f>CONCATENATE(Table2[[#This Row],[Specs]],Table2[[#This Row],[Width]])</f>
        <v>ユポ80 MD 8GB155</v>
      </c>
    </row>
    <row r="214" spans="1:9">
      <c r="A214" s="31" t="s">
        <v>354</v>
      </c>
      <c r="B214" s="32" t="s">
        <v>403</v>
      </c>
      <c r="C214" s="32">
        <v>185</v>
      </c>
      <c r="D214" s="32">
        <v>600</v>
      </c>
      <c r="E214" s="32">
        <v>1</v>
      </c>
      <c r="F214" s="32">
        <f t="shared" si="43"/>
        <v>600</v>
      </c>
      <c r="G214" s="32">
        <v>600</v>
      </c>
      <c r="H214" s="32">
        <f t="shared" si="44"/>
        <v>0</v>
      </c>
      <c r="I214" s="9" t="str">
        <f>CONCATENATE(Table2[[#This Row],[Specs]],Table2[[#This Row],[Width]])</f>
        <v>ユポ80 MD 8GB185</v>
      </c>
    </row>
    <row r="215" spans="1:9">
      <c r="A215" s="31" t="s">
        <v>354</v>
      </c>
      <c r="B215" s="32" t="s">
        <v>403</v>
      </c>
      <c r="C215" s="32">
        <v>155</v>
      </c>
      <c r="D215" s="32">
        <v>600</v>
      </c>
      <c r="E215" s="32">
        <v>1</v>
      </c>
      <c r="F215" s="32">
        <f t="shared" si="43"/>
        <v>600</v>
      </c>
      <c r="G215" s="32">
        <v>300</v>
      </c>
      <c r="H215" s="32">
        <f t="shared" si="44"/>
        <v>300</v>
      </c>
      <c r="I215" s="9" t="str">
        <f>CONCATENATE(Table2[[#This Row],[Specs]],Table2[[#This Row],[Width]])</f>
        <v>ユポ80 MD 8GB155</v>
      </c>
    </row>
    <row r="216" spans="1:9">
      <c r="A216" s="31" t="s">
        <v>355</v>
      </c>
      <c r="B216" s="32" t="s">
        <v>403</v>
      </c>
      <c r="C216" s="32">
        <v>165</v>
      </c>
      <c r="D216" s="32">
        <v>600</v>
      </c>
      <c r="E216" s="32">
        <v>1</v>
      </c>
      <c r="F216" s="32">
        <f t="shared" si="43"/>
        <v>600</v>
      </c>
      <c r="G216" s="32">
        <v>600</v>
      </c>
      <c r="H216" s="32">
        <f t="shared" si="44"/>
        <v>0</v>
      </c>
      <c r="I216" s="9" t="str">
        <f>CONCATENATE(Table2[[#This Row],[Specs]],Table2[[#This Row],[Width]])</f>
        <v>ユポ80 MD 8GB165</v>
      </c>
    </row>
    <row r="217" spans="1:9">
      <c r="A217" s="31" t="s">
        <v>355</v>
      </c>
      <c r="B217" s="32" t="s">
        <v>403</v>
      </c>
      <c r="C217" s="32">
        <v>165</v>
      </c>
      <c r="D217" s="32">
        <v>600</v>
      </c>
      <c r="E217" s="32">
        <v>1</v>
      </c>
      <c r="F217" s="32">
        <f t="shared" ref="F217:F224" si="45">E217*D217</f>
        <v>600</v>
      </c>
      <c r="G217" s="32">
        <v>600</v>
      </c>
      <c r="H217" s="32">
        <f t="shared" ref="H217:H224" si="46">F217-G217</f>
        <v>0</v>
      </c>
      <c r="I217" s="9" t="str">
        <f>CONCATENATE(Table2[[#This Row],[Specs]],Table2[[#This Row],[Width]])</f>
        <v>ユポ80 MD 8GB165</v>
      </c>
    </row>
    <row r="218" spans="1:9">
      <c r="A218" s="31" t="s">
        <v>355</v>
      </c>
      <c r="B218" s="32" t="s">
        <v>403</v>
      </c>
      <c r="C218" s="32">
        <v>205</v>
      </c>
      <c r="D218" s="32">
        <v>600</v>
      </c>
      <c r="E218" s="32">
        <v>1</v>
      </c>
      <c r="F218" s="32">
        <f t="shared" si="45"/>
        <v>600</v>
      </c>
      <c r="G218" s="32">
        <v>600</v>
      </c>
      <c r="H218" s="32">
        <f t="shared" si="46"/>
        <v>0</v>
      </c>
      <c r="I218" s="9" t="str">
        <f>CONCATENATE(Table2[[#This Row],[Specs]],Table2[[#This Row],[Width]])</f>
        <v>ユポ80 MD 8GB205</v>
      </c>
    </row>
    <row r="219" spans="1:9">
      <c r="A219" s="31" t="s">
        <v>356</v>
      </c>
      <c r="B219" s="32" t="s">
        <v>404</v>
      </c>
      <c r="C219" s="32">
        <v>120</v>
      </c>
      <c r="D219" s="32">
        <v>600</v>
      </c>
      <c r="E219" s="32">
        <v>1</v>
      </c>
      <c r="F219" s="32">
        <f t="shared" si="45"/>
        <v>600</v>
      </c>
      <c r="G219" s="32"/>
      <c r="H219" s="32">
        <f t="shared" si="46"/>
        <v>600</v>
      </c>
      <c r="I219" s="9" t="str">
        <f>CONCATENATE(Table2[[#This Row],[Specs]],Table2[[#This Row],[Width]])</f>
        <v>キャスト&lt;73&gt;ME80E120</v>
      </c>
    </row>
    <row r="220" spans="1:9">
      <c r="A220" s="31" t="s">
        <v>356</v>
      </c>
      <c r="B220" s="32" t="s">
        <v>404</v>
      </c>
      <c r="C220" s="32">
        <v>120</v>
      </c>
      <c r="D220" s="32">
        <v>600</v>
      </c>
      <c r="E220" s="32">
        <v>1</v>
      </c>
      <c r="F220" s="32">
        <f t="shared" si="45"/>
        <v>600</v>
      </c>
      <c r="G220" s="32"/>
      <c r="H220" s="32">
        <f t="shared" si="46"/>
        <v>600</v>
      </c>
      <c r="I220" s="9" t="str">
        <f>CONCATENATE(Table2[[#This Row],[Specs]],Table2[[#This Row],[Width]])</f>
        <v>キャスト&lt;73&gt;ME80E120</v>
      </c>
    </row>
    <row r="221" spans="1:9">
      <c r="A221" s="31" t="s">
        <v>357</v>
      </c>
      <c r="B221" s="32" t="s">
        <v>403</v>
      </c>
      <c r="C221" s="32">
        <v>165</v>
      </c>
      <c r="D221" s="32">
        <v>600</v>
      </c>
      <c r="E221" s="32">
        <v>1</v>
      </c>
      <c r="F221" s="32">
        <f t="shared" si="45"/>
        <v>600</v>
      </c>
      <c r="G221" s="32">
        <v>600</v>
      </c>
      <c r="H221" s="32">
        <f t="shared" si="46"/>
        <v>0</v>
      </c>
      <c r="I221" s="9" t="str">
        <f>CONCATENATE(Table2[[#This Row],[Specs]],Table2[[#This Row],[Width]])</f>
        <v>ユポ80 MD 8GB165</v>
      </c>
    </row>
    <row r="222" spans="1:9">
      <c r="A222" s="31" t="s">
        <v>357</v>
      </c>
      <c r="B222" s="32" t="s">
        <v>403</v>
      </c>
      <c r="C222" s="32">
        <v>165</v>
      </c>
      <c r="D222" s="32">
        <v>600</v>
      </c>
      <c r="E222" s="32">
        <v>1</v>
      </c>
      <c r="F222" s="32">
        <f t="shared" si="45"/>
        <v>600</v>
      </c>
      <c r="G222" s="32">
        <v>600</v>
      </c>
      <c r="H222" s="32">
        <f t="shared" si="46"/>
        <v>0</v>
      </c>
      <c r="I222" s="9" t="str">
        <f>CONCATENATE(Table2[[#This Row],[Specs]],Table2[[#This Row],[Width]])</f>
        <v>ユポ80 MD 8GB165</v>
      </c>
    </row>
    <row r="223" spans="1:9">
      <c r="A223" s="31" t="s">
        <v>357</v>
      </c>
      <c r="B223" s="32" t="s">
        <v>403</v>
      </c>
      <c r="C223" s="32">
        <v>165</v>
      </c>
      <c r="D223" s="32">
        <v>600</v>
      </c>
      <c r="E223" s="32">
        <v>1</v>
      </c>
      <c r="F223" s="32">
        <f t="shared" si="45"/>
        <v>600</v>
      </c>
      <c r="G223" s="32">
        <v>600</v>
      </c>
      <c r="H223" s="32">
        <f t="shared" si="46"/>
        <v>0</v>
      </c>
      <c r="I223" s="9" t="str">
        <f>CONCATENATE(Table2[[#This Row],[Specs]],Table2[[#This Row],[Width]])</f>
        <v>ユポ80 MD 8GB165</v>
      </c>
    </row>
    <row r="224" spans="1:9">
      <c r="A224" s="31" t="s">
        <v>358</v>
      </c>
      <c r="B224" s="32" t="s">
        <v>403</v>
      </c>
      <c r="C224" s="32">
        <v>165</v>
      </c>
      <c r="D224" s="32">
        <v>600</v>
      </c>
      <c r="E224" s="32">
        <v>3</v>
      </c>
      <c r="F224" s="32">
        <f t="shared" si="45"/>
        <v>1800</v>
      </c>
      <c r="G224" s="32">
        <v>1800</v>
      </c>
      <c r="H224" s="32">
        <f t="shared" si="46"/>
        <v>0</v>
      </c>
      <c r="I224" s="9" t="str">
        <f>CONCATENATE(Table2[[#This Row],[Specs]],Table2[[#This Row],[Width]])</f>
        <v>ユポ80 MD 8GB165</v>
      </c>
    </row>
    <row r="225" spans="1:9">
      <c r="A225" s="31" t="s">
        <v>359</v>
      </c>
      <c r="B225" s="32" t="s">
        <v>400</v>
      </c>
      <c r="C225" s="32">
        <v>90</v>
      </c>
      <c r="D225" s="32">
        <v>600</v>
      </c>
      <c r="E225" s="32">
        <v>1</v>
      </c>
      <c r="F225" s="32">
        <f t="shared" ref="F225:F230" si="47">E225*D225</f>
        <v>600</v>
      </c>
      <c r="G225" s="32"/>
      <c r="H225" s="32">
        <f t="shared" ref="H225:H230" si="48">F225-G225</f>
        <v>600</v>
      </c>
      <c r="I225" s="9" t="str">
        <f>CONCATENATE(Table2[[#This Row],[Specs]],Table2[[#This Row],[Width]])</f>
        <v>上質&lt;70&gt; ME 7GB90</v>
      </c>
    </row>
    <row r="226" spans="1:9">
      <c r="A226" s="31" t="s">
        <v>361</v>
      </c>
      <c r="B226" s="32" t="s">
        <v>403</v>
      </c>
      <c r="C226" s="32">
        <v>185</v>
      </c>
      <c r="D226" s="32">
        <v>600</v>
      </c>
      <c r="E226" s="32">
        <v>2</v>
      </c>
      <c r="F226" s="32">
        <f t="shared" si="47"/>
        <v>1200</v>
      </c>
      <c r="G226" s="32">
        <v>1200</v>
      </c>
      <c r="H226" s="32">
        <f t="shared" si="48"/>
        <v>0</v>
      </c>
      <c r="I226" s="9" t="str">
        <f>CONCATENATE(Table2[[#This Row],[Specs]],Table2[[#This Row],[Width]])</f>
        <v>ユポ80 MD 8GB185</v>
      </c>
    </row>
    <row r="227" spans="1:9">
      <c r="A227" s="31" t="s">
        <v>362</v>
      </c>
      <c r="B227" s="32" t="s">
        <v>403</v>
      </c>
      <c r="C227" s="32">
        <v>165</v>
      </c>
      <c r="D227" s="32">
        <v>600</v>
      </c>
      <c r="E227" s="32">
        <v>3</v>
      </c>
      <c r="F227" s="32">
        <f t="shared" si="47"/>
        <v>1800</v>
      </c>
      <c r="G227" s="32">
        <v>1800</v>
      </c>
      <c r="H227" s="32">
        <f t="shared" si="48"/>
        <v>0</v>
      </c>
      <c r="I227" s="9" t="str">
        <f>CONCATENATE(Table2[[#This Row],[Specs]],Table2[[#This Row],[Width]])</f>
        <v>ユポ80 MD 8GB165</v>
      </c>
    </row>
    <row r="228" spans="1:9">
      <c r="A228" s="31" t="s">
        <v>362</v>
      </c>
      <c r="B228" s="32" t="s">
        <v>403</v>
      </c>
      <c r="C228" s="32">
        <v>185</v>
      </c>
      <c r="D228" s="32">
        <v>600</v>
      </c>
      <c r="E228" s="32">
        <v>1</v>
      </c>
      <c r="F228" s="32">
        <f t="shared" si="47"/>
        <v>600</v>
      </c>
      <c r="G228" s="32">
        <v>600</v>
      </c>
      <c r="H228" s="32">
        <f t="shared" si="48"/>
        <v>0</v>
      </c>
      <c r="I228" s="9" t="str">
        <f>CONCATENATE(Table2[[#This Row],[Specs]],Table2[[#This Row],[Width]])</f>
        <v>ユポ80 MD 8GB185</v>
      </c>
    </row>
    <row r="229" spans="1:9">
      <c r="A229" s="31" t="s">
        <v>363</v>
      </c>
      <c r="B229" s="32" t="s">
        <v>403</v>
      </c>
      <c r="C229" s="32">
        <v>185</v>
      </c>
      <c r="D229" s="32">
        <v>600</v>
      </c>
      <c r="E229" s="32">
        <v>1</v>
      </c>
      <c r="F229" s="32">
        <f t="shared" si="47"/>
        <v>600</v>
      </c>
      <c r="G229" s="32">
        <v>600</v>
      </c>
      <c r="H229" s="32">
        <f t="shared" si="48"/>
        <v>0</v>
      </c>
      <c r="I229" s="9" t="str">
        <f>CONCATENATE(Table2[[#This Row],[Specs]],Table2[[#This Row],[Width]])</f>
        <v>ユポ80 MD 8GB185</v>
      </c>
    </row>
    <row r="230" spans="1:9">
      <c r="A230" s="31" t="s">
        <v>364</v>
      </c>
      <c r="B230" s="32" t="s">
        <v>403</v>
      </c>
      <c r="C230" s="32">
        <v>165</v>
      </c>
      <c r="D230" s="32">
        <v>600</v>
      </c>
      <c r="E230" s="32">
        <v>3</v>
      </c>
      <c r="F230" s="32">
        <f t="shared" si="47"/>
        <v>1800</v>
      </c>
      <c r="G230" s="32">
        <v>1800</v>
      </c>
      <c r="H230" s="32">
        <f t="shared" si="48"/>
        <v>0</v>
      </c>
      <c r="I230" s="9" t="str">
        <f>CONCATENATE(Table2[[#This Row],[Specs]],Table2[[#This Row],[Width]])</f>
        <v>ユポ80 MD 8GB165</v>
      </c>
    </row>
    <row r="231" spans="1:9">
      <c r="A231" s="31" t="s">
        <v>365</v>
      </c>
      <c r="B231" s="32" t="s">
        <v>403</v>
      </c>
      <c r="C231" s="32">
        <v>205</v>
      </c>
      <c r="D231" s="32">
        <v>600</v>
      </c>
      <c r="E231" s="32">
        <v>1</v>
      </c>
      <c r="F231" s="32">
        <f t="shared" ref="F231:F237" si="49">E231*D231</f>
        <v>600</v>
      </c>
      <c r="G231" s="32"/>
      <c r="H231" s="32">
        <f t="shared" ref="H231:H237" si="50">F231-G231</f>
        <v>600</v>
      </c>
      <c r="I231" s="9" t="str">
        <f>CONCATENATE(Table2[[#This Row],[Specs]],Table2[[#This Row],[Width]])</f>
        <v>ユポ80 MD 8GB205</v>
      </c>
    </row>
    <row r="232" spans="1:9">
      <c r="A232" s="31" t="s">
        <v>366</v>
      </c>
      <c r="B232" s="32" t="s">
        <v>403</v>
      </c>
      <c r="C232" s="32">
        <v>165</v>
      </c>
      <c r="D232" s="32">
        <v>600</v>
      </c>
      <c r="E232" s="32">
        <v>2</v>
      </c>
      <c r="F232" s="32">
        <f t="shared" si="49"/>
        <v>1200</v>
      </c>
      <c r="G232" s="32">
        <v>1200</v>
      </c>
      <c r="H232" s="32">
        <f t="shared" si="50"/>
        <v>0</v>
      </c>
      <c r="I232" s="9" t="str">
        <f>CONCATENATE(Table2[[#This Row],[Specs]],Table2[[#This Row],[Width]])</f>
        <v>ユポ80 MD 8GB165</v>
      </c>
    </row>
    <row r="233" spans="1:9">
      <c r="A233" s="31" t="s">
        <v>366</v>
      </c>
      <c r="B233" s="32" t="s">
        <v>403</v>
      </c>
      <c r="C233" s="32">
        <v>125</v>
      </c>
      <c r="D233" s="32">
        <v>600</v>
      </c>
      <c r="E233" s="32">
        <v>1</v>
      </c>
      <c r="F233" s="32">
        <f t="shared" si="49"/>
        <v>600</v>
      </c>
      <c r="G233" s="32">
        <v>600</v>
      </c>
      <c r="H233" s="32">
        <f t="shared" si="50"/>
        <v>0</v>
      </c>
      <c r="I233" s="9" t="str">
        <f>CONCATENATE(Table2[[#This Row],[Specs]],Table2[[#This Row],[Width]])</f>
        <v>ユポ80 MD 8GB125</v>
      </c>
    </row>
    <row r="234" spans="1:9">
      <c r="A234" s="31" t="s">
        <v>367</v>
      </c>
      <c r="B234" s="32" t="s">
        <v>403</v>
      </c>
      <c r="C234" s="32">
        <v>165</v>
      </c>
      <c r="D234" s="32">
        <v>600</v>
      </c>
      <c r="E234" s="32">
        <v>3</v>
      </c>
      <c r="F234" s="32">
        <f t="shared" si="49"/>
        <v>1800</v>
      </c>
      <c r="G234" s="32">
        <v>1800</v>
      </c>
      <c r="H234" s="32">
        <f t="shared" si="50"/>
        <v>0</v>
      </c>
      <c r="I234" s="9" t="str">
        <f>CONCATENATE(Table2[[#This Row],[Specs]],Table2[[#This Row],[Width]])</f>
        <v>ユポ80 MD 8GB165</v>
      </c>
    </row>
    <row r="235" spans="1:9">
      <c r="A235" s="31" t="s">
        <v>367</v>
      </c>
      <c r="B235" s="32" t="s">
        <v>403</v>
      </c>
      <c r="C235" s="32">
        <v>125</v>
      </c>
      <c r="D235" s="32">
        <v>600</v>
      </c>
      <c r="E235" s="32">
        <v>1</v>
      </c>
      <c r="F235" s="32">
        <f t="shared" si="49"/>
        <v>600</v>
      </c>
      <c r="G235" s="32">
        <v>600</v>
      </c>
      <c r="H235" s="32">
        <f t="shared" si="50"/>
        <v>0</v>
      </c>
      <c r="I235" s="9" t="str">
        <f>CONCATENATE(Table2[[#This Row],[Specs]],Table2[[#This Row],[Width]])</f>
        <v>ユポ80 MD 8GB125</v>
      </c>
    </row>
    <row r="236" spans="1:9">
      <c r="A236" s="31" t="s">
        <v>367</v>
      </c>
      <c r="B236" s="32" t="s">
        <v>403</v>
      </c>
      <c r="C236" s="32">
        <v>140</v>
      </c>
      <c r="D236" s="32">
        <v>600</v>
      </c>
      <c r="E236" s="32">
        <v>1</v>
      </c>
      <c r="F236" s="32">
        <f t="shared" si="49"/>
        <v>600</v>
      </c>
      <c r="G236" s="32">
        <v>600</v>
      </c>
      <c r="H236" s="32">
        <f t="shared" si="50"/>
        <v>0</v>
      </c>
      <c r="I236" s="9" t="str">
        <f>CONCATENATE(Table2[[#This Row],[Specs]],Table2[[#This Row],[Width]])</f>
        <v>ユポ80 MD 8GB140</v>
      </c>
    </row>
    <row r="237" spans="1:9">
      <c r="A237" s="31" t="s">
        <v>368</v>
      </c>
      <c r="B237" s="32" t="s">
        <v>404</v>
      </c>
      <c r="C237" s="32">
        <v>90</v>
      </c>
      <c r="D237" s="32">
        <v>600</v>
      </c>
      <c r="E237" s="32">
        <v>2</v>
      </c>
      <c r="F237" s="32">
        <f t="shared" si="49"/>
        <v>1200</v>
      </c>
      <c r="G237" s="32">
        <v>600</v>
      </c>
      <c r="H237" s="32">
        <f t="shared" si="50"/>
        <v>600</v>
      </c>
      <c r="I237" s="9" t="str">
        <f>CONCATENATE(Table2[[#This Row],[Specs]],Table2[[#This Row],[Width]])</f>
        <v>キャスト&lt;73&gt;ME80E90</v>
      </c>
    </row>
    <row r="238" spans="1:9">
      <c r="A238" s="31" t="s">
        <v>369</v>
      </c>
      <c r="B238" s="32" t="s">
        <v>403</v>
      </c>
      <c r="C238" s="32">
        <v>165</v>
      </c>
      <c r="D238" s="32">
        <v>600</v>
      </c>
      <c r="E238" s="32">
        <v>2</v>
      </c>
      <c r="F238" s="32">
        <f t="shared" ref="F238:F244" si="51">E238*D238</f>
        <v>1200</v>
      </c>
      <c r="G238" s="32">
        <v>1200</v>
      </c>
      <c r="H238" s="32">
        <f t="shared" ref="H238:H244" si="52">F238-G238</f>
        <v>0</v>
      </c>
      <c r="I238" s="9" t="str">
        <f>CONCATENATE(Table2[[#This Row],[Specs]],Table2[[#This Row],[Width]])</f>
        <v>ユポ80 MD 8GB165</v>
      </c>
    </row>
    <row r="239" spans="1:9">
      <c r="A239" s="31" t="s">
        <v>370</v>
      </c>
      <c r="B239" s="32" t="s">
        <v>403</v>
      </c>
      <c r="C239" s="32">
        <v>165</v>
      </c>
      <c r="D239" s="32">
        <v>600</v>
      </c>
      <c r="E239" s="32">
        <v>2</v>
      </c>
      <c r="F239" s="32">
        <f t="shared" si="51"/>
        <v>1200</v>
      </c>
      <c r="G239" s="32">
        <v>1200</v>
      </c>
      <c r="H239" s="32">
        <f t="shared" si="52"/>
        <v>0</v>
      </c>
      <c r="I239" s="9" t="str">
        <f>CONCATENATE(Table2[[#This Row],[Specs]],Table2[[#This Row],[Width]])</f>
        <v>ユポ80 MD 8GB165</v>
      </c>
    </row>
    <row r="240" spans="1:9">
      <c r="A240" s="31" t="s">
        <v>371</v>
      </c>
      <c r="B240" s="32" t="s">
        <v>373</v>
      </c>
      <c r="C240" s="32">
        <v>135</v>
      </c>
      <c r="D240" s="32">
        <v>200</v>
      </c>
      <c r="E240" s="32">
        <v>1</v>
      </c>
      <c r="F240" s="32">
        <f t="shared" si="51"/>
        <v>200</v>
      </c>
      <c r="G240" s="32">
        <v>200</v>
      </c>
      <c r="H240" s="32">
        <f t="shared" si="52"/>
        <v>0</v>
      </c>
      <c r="I240" s="9" t="str">
        <f>CONCATENATE(Table2[[#This Row],[Specs]],Table2[[#This Row],[Width]])</f>
        <v>PW 8E&lt;90&gt;135</v>
      </c>
    </row>
    <row r="241" spans="1:9">
      <c r="A241" s="31" t="s">
        <v>374</v>
      </c>
      <c r="B241" s="32" t="s">
        <v>403</v>
      </c>
      <c r="C241" s="32">
        <v>205</v>
      </c>
      <c r="D241" s="32">
        <v>600</v>
      </c>
      <c r="E241" s="32">
        <v>1</v>
      </c>
      <c r="F241" s="32">
        <f t="shared" si="51"/>
        <v>600</v>
      </c>
      <c r="G241" s="32">
        <v>600</v>
      </c>
      <c r="H241" s="32">
        <f t="shared" si="52"/>
        <v>0</v>
      </c>
      <c r="I241" s="9" t="str">
        <f>CONCATENATE(Table2[[#This Row],[Specs]],Table2[[#This Row],[Width]])</f>
        <v>ユポ80 MD 8GB205</v>
      </c>
    </row>
    <row r="242" spans="1:9">
      <c r="A242" s="31" t="s">
        <v>375</v>
      </c>
      <c r="B242" s="32" t="s">
        <v>281</v>
      </c>
      <c r="C242" s="32">
        <v>120</v>
      </c>
      <c r="D242" s="32">
        <v>200</v>
      </c>
      <c r="E242" s="32">
        <v>1</v>
      </c>
      <c r="F242" s="32">
        <f t="shared" si="51"/>
        <v>200</v>
      </c>
      <c r="G242" s="32"/>
      <c r="H242" s="32">
        <f t="shared" si="52"/>
        <v>200</v>
      </c>
      <c r="I242" s="9" t="str">
        <f>CONCATENATE(Table2[[#This Row],[Specs]],Table2[[#This Row],[Width]])</f>
        <v>PET50Sマット MP1 110HS120</v>
      </c>
    </row>
    <row r="243" spans="1:9">
      <c r="A243" s="31" t="s">
        <v>375</v>
      </c>
      <c r="B243" s="32" t="s">
        <v>281</v>
      </c>
      <c r="C243" s="32">
        <v>120</v>
      </c>
      <c r="D243" s="32">
        <v>400</v>
      </c>
      <c r="E243" s="32">
        <v>1</v>
      </c>
      <c r="F243" s="32">
        <f t="shared" si="51"/>
        <v>400</v>
      </c>
      <c r="G243" s="32"/>
      <c r="H243" s="32">
        <f t="shared" si="52"/>
        <v>400</v>
      </c>
      <c r="I243" s="9" t="str">
        <f>CONCATENATE(Table2[[#This Row],[Specs]],Table2[[#This Row],[Width]])</f>
        <v>PET50Sマット MP1 110HS120</v>
      </c>
    </row>
    <row r="244" spans="1:9">
      <c r="A244" s="31" t="s">
        <v>376</v>
      </c>
      <c r="B244" s="32" t="s">
        <v>403</v>
      </c>
      <c r="C244" s="32">
        <v>165</v>
      </c>
      <c r="D244" s="32">
        <v>600</v>
      </c>
      <c r="E244" s="32">
        <v>3</v>
      </c>
      <c r="F244" s="32">
        <f t="shared" si="51"/>
        <v>1800</v>
      </c>
      <c r="G244" s="32">
        <v>1800</v>
      </c>
      <c r="H244" s="32">
        <f t="shared" si="52"/>
        <v>0</v>
      </c>
      <c r="I244" s="9" t="str">
        <f>CONCATENATE(Table2[[#This Row],[Specs]],Table2[[#This Row],[Width]])</f>
        <v>ユポ80 MD 8GB165</v>
      </c>
    </row>
    <row r="245" spans="1:9">
      <c r="A245" s="31" t="s">
        <v>377</v>
      </c>
      <c r="B245" s="32" t="s">
        <v>403</v>
      </c>
      <c r="C245" s="32">
        <v>165</v>
      </c>
      <c r="D245" s="32">
        <v>600</v>
      </c>
      <c r="E245" s="32">
        <v>3</v>
      </c>
      <c r="F245" s="32">
        <f t="shared" ref="F245:F250" si="53">E245*D245</f>
        <v>1800</v>
      </c>
      <c r="G245" s="32">
        <v>1800</v>
      </c>
      <c r="H245" s="32">
        <f t="shared" ref="H245:H250" si="54">F245-G245</f>
        <v>0</v>
      </c>
      <c r="I245" s="9" t="str">
        <f>CONCATENATE(Table2[[#This Row],[Specs]],Table2[[#This Row],[Width]])</f>
        <v>ユポ80 MD 8GB165</v>
      </c>
    </row>
    <row r="246" spans="1:9">
      <c r="A246" s="31" t="s">
        <v>377</v>
      </c>
      <c r="B246" s="32" t="s">
        <v>403</v>
      </c>
      <c r="C246" s="32">
        <v>125</v>
      </c>
      <c r="D246" s="32">
        <v>600</v>
      </c>
      <c r="E246" s="32">
        <v>3</v>
      </c>
      <c r="F246" s="32">
        <f t="shared" si="53"/>
        <v>1800</v>
      </c>
      <c r="G246" s="32">
        <v>1800</v>
      </c>
      <c r="H246" s="32">
        <f t="shared" si="54"/>
        <v>0</v>
      </c>
      <c r="I246" s="9" t="str">
        <f>CONCATENATE(Table2[[#This Row],[Specs]],Table2[[#This Row],[Width]])</f>
        <v>ユポ80 MD 8GB125</v>
      </c>
    </row>
    <row r="247" spans="1:9">
      <c r="A247" s="31" t="s">
        <v>378</v>
      </c>
      <c r="B247" s="32" t="s">
        <v>403</v>
      </c>
      <c r="C247" s="32">
        <v>140</v>
      </c>
      <c r="D247" s="32">
        <v>600</v>
      </c>
      <c r="E247" s="32">
        <v>1</v>
      </c>
      <c r="F247" s="32">
        <f t="shared" si="53"/>
        <v>600</v>
      </c>
      <c r="G247" s="32">
        <v>600</v>
      </c>
      <c r="H247" s="32">
        <f t="shared" si="54"/>
        <v>0</v>
      </c>
      <c r="I247" s="9" t="str">
        <f>CONCATENATE(Table2[[#This Row],[Specs]],Table2[[#This Row],[Width]])</f>
        <v>ユポ80 MD 8GB140</v>
      </c>
    </row>
    <row r="248" spans="1:9">
      <c r="A248" s="31" t="s">
        <v>378</v>
      </c>
      <c r="B248" s="32" t="s">
        <v>400</v>
      </c>
      <c r="C248" s="32">
        <v>160</v>
      </c>
      <c r="D248" s="32">
        <v>600</v>
      </c>
      <c r="E248" s="32">
        <v>2</v>
      </c>
      <c r="F248" s="32">
        <f t="shared" si="53"/>
        <v>1200</v>
      </c>
      <c r="G248" s="32">
        <v>1200</v>
      </c>
      <c r="H248" s="32">
        <f t="shared" si="54"/>
        <v>0</v>
      </c>
      <c r="I248" s="9" t="str">
        <f>CONCATENATE(Table2[[#This Row],[Specs]],Table2[[#This Row],[Width]])</f>
        <v>上質&lt;70&gt; ME 7GB160</v>
      </c>
    </row>
    <row r="249" spans="1:9">
      <c r="A249" s="31" t="s">
        <v>379</v>
      </c>
      <c r="B249" s="32" t="s">
        <v>403</v>
      </c>
      <c r="C249" s="32">
        <v>165</v>
      </c>
      <c r="D249" s="32">
        <v>600</v>
      </c>
      <c r="E249" s="32">
        <v>3</v>
      </c>
      <c r="F249" s="32">
        <f t="shared" si="53"/>
        <v>1800</v>
      </c>
      <c r="G249" s="32">
        <v>1800</v>
      </c>
      <c r="H249" s="32">
        <f t="shared" si="54"/>
        <v>0</v>
      </c>
      <c r="I249" s="9" t="str">
        <f>CONCATENATE(Table2[[#This Row],[Specs]],Table2[[#This Row],[Width]])</f>
        <v>ユポ80 MD 8GB165</v>
      </c>
    </row>
    <row r="250" spans="1:9">
      <c r="A250" s="31" t="s">
        <v>380</v>
      </c>
      <c r="B250" s="32" t="s">
        <v>403</v>
      </c>
      <c r="C250" s="32">
        <v>125</v>
      </c>
      <c r="D250" s="32">
        <v>600</v>
      </c>
      <c r="E250" s="32">
        <v>1</v>
      </c>
      <c r="F250" s="32">
        <f t="shared" si="53"/>
        <v>600</v>
      </c>
      <c r="G250" s="32">
        <v>600</v>
      </c>
      <c r="H250" s="32">
        <f t="shared" si="54"/>
        <v>0</v>
      </c>
      <c r="I250" s="9" t="str">
        <f>CONCATENATE(Table2[[#This Row],[Specs]],Table2[[#This Row],[Width]])</f>
        <v>ユポ80 MD 8GB125</v>
      </c>
    </row>
    <row r="251" spans="1:9">
      <c r="A251" s="31" t="s">
        <v>381</v>
      </c>
      <c r="B251" s="32" t="s">
        <v>403</v>
      </c>
      <c r="C251" s="32">
        <v>185</v>
      </c>
      <c r="D251" s="32">
        <v>600</v>
      </c>
      <c r="E251" s="32">
        <v>1</v>
      </c>
      <c r="F251" s="32">
        <f t="shared" ref="F251:F256" si="55">E251*D251</f>
        <v>600</v>
      </c>
      <c r="G251" s="32">
        <v>600</v>
      </c>
      <c r="H251" s="32">
        <f t="shared" ref="H251:H256" si="56">F251-G251</f>
        <v>0</v>
      </c>
      <c r="I251" s="9" t="str">
        <f>CONCATENATE(Table2[[#This Row],[Specs]],Table2[[#This Row],[Width]])</f>
        <v>ユポ80 MD 8GB185</v>
      </c>
    </row>
    <row r="252" spans="1:9">
      <c r="A252" s="31" t="s">
        <v>382</v>
      </c>
      <c r="B252" s="32" t="s">
        <v>403</v>
      </c>
      <c r="C252" s="32">
        <v>165</v>
      </c>
      <c r="D252" s="32">
        <v>600</v>
      </c>
      <c r="E252" s="32">
        <v>2</v>
      </c>
      <c r="F252" s="32">
        <f t="shared" si="55"/>
        <v>1200</v>
      </c>
      <c r="G252" s="32">
        <v>1200</v>
      </c>
      <c r="H252" s="32">
        <f t="shared" si="56"/>
        <v>0</v>
      </c>
      <c r="I252" s="9" t="str">
        <f>CONCATENATE(Table2[[#This Row],[Specs]],Table2[[#This Row],[Width]])</f>
        <v>ユポ80 MD 8GB165</v>
      </c>
    </row>
    <row r="253" spans="1:9">
      <c r="A253" s="31" t="s">
        <v>383</v>
      </c>
      <c r="B253" s="32" t="s">
        <v>413</v>
      </c>
      <c r="C253" s="32">
        <v>220</v>
      </c>
      <c r="D253" s="32">
        <v>550</v>
      </c>
      <c r="E253" s="32">
        <v>2</v>
      </c>
      <c r="F253" s="32">
        <f t="shared" si="55"/>
        <v>1100</v>
      </c>
      <c r="G253" s="32"/>
      <c r="H253" s="32">
        <f t="shared" si="56"/>
        <v>1100</v>
      </c>
      <c r="I253" s="9" t="str">
        <f>CONCATENATE(Table2[[#This Row],[Specs]],Table2[[#This Row],[Width]])</f>
        <v>上質&lt;55＞ME 80E220</v>
      </c>
    </row>
    <row r="254" spans="1:9">
      <c r="A254" s="31" t="s">
        <v>384</v>
      </c>
      <c r="B254" s="32" t="s">
        <v>403</v>
      </c>
      <c r="C254" s="32">
        <v>165</v>
      </c>
      <c r="D254" s="32">
        <v>600</v>
      </c>
      <c r="E254" s="32">
        <v>1</v>
      </c>
      <c r="F254" s="32">
        <f t="shared" si="55"/>
        <v>600</v>
      </c>
      <c r="G254" s="32">
        <v>600</v>
      </c>
      <c r="H254" s="32">
        <f t="shared" si="56"/>
        <v>0</v>
      </c>
      <c r="I254" s="9" t="str">
        <f>CONCATENATE(Table2[[#This Row],[Specs]],Table2[[#This Row],[Width]])</f>
        <v>ユポ80 MD 8GB165</v>
      </c>
    </row>
    <row r="255" spans="1:9">
      <c r="A255" s="31" t="s">
        <v>385</v>
      </c>
      <c r="B255" s="32" t="s">
        <v>403</v>
      </c>
      <c r="C255" s="32">
        <v>165</v>
      </c>
      <c r="D255" s="32">
        <v>600</v>
      </c>
      <c r="E255" s="32">
        <v>1</v>
      </c>
      <c r="F255" s="32">
        <f t="shared" si="55"/>
        <v>600</v>
      </c>
      <c r="G255" s="32">
        <v>600</v>
      </c>
      <c r="H255" s="32">
        <f t="shared" si="56"/>
        <v>0</v>
      </c>
      <c r="I255" s="9" t="str">
        <f>CONCATENATE(Table2[[#This Row],[Specs]],Table2[[#This Row],[Width]])</f>
        <v>ユポ80 MD 8GB165</v>
      </c>
    </row>
    <row r="256" spans="1:9">
      <c r="A256" s="31" t="s">
        <v>385</v>
      </c>
      <c r="B256" s="32" t="s">
        <v>403</v>
      </c>
      <c r="C256" s="32">
        <v>125</v>
      </c>
      <c r="D256" s="32">
        <v>600</v>
      </c>
      <c r="E256" s="32">
        <v>1</v>
      </c>
      <c r="F256" s="32">
        <f t="shared" si="55"/>
        <v>600</v>
      </c>
      <c r="G256" s="32"/>
      <c r="H256" s="32">
        <f t="shared" si="56"/>
        <v>600</v>
      </c>
      <c r="I256" s="9" t="str">
        <f>CONCATENATE(Table2[[#This Row],[Specs]],Table2[[#This Row],[Width]])</f>
        <v>ユポ80 MD 8GB125</v>
      </c>
    </row>
    <row r="257" spans="1:9">
      <c r="A257" s="31" t="s">
        <v>385</v>
      </c>
      <c r="B257" s="32" t="s">
        <v>403</v>
      </c>
      <c r="C257" s="32">
        <v>140</v>
      </c>
      <c r="D257" s="32">
        <v>600</v>
      </c>
      <c r="E257" s="32">
        <v>1</v>
      </c>
      <c r="F257" s="32">
        <f t="shared" ref="F257:F267" si="57">E257*D257</f>
        <v>600</v>
      </c>
      <c r="G257" s="32">
        <v>600</v>
      </c>
      <c r="H257" s="32">
        <f t="shared" ref="H257:H267" si="58">F257-G257</f>
        <v>0</v>
      </c>
      <c r="I257" s="9" t="str">
        <f>CONCATENATE(Table2[[#This Row],[Specs]],Table2[[#This Row],[Width]])</f>
        <v>ユポ80 MD 8GB140</v>
      </c>
    </row>
    <row r="258" spans="1:9">
      <c r="A258" s="31" t="s">
        <v>385</v>
      </c>
      <c r="B258" s="32" t="s">
        <v>403</v>
      </c>
      <c r="C258" s="32">
        <v>125</v>
      </c>
      <c r="D258" s="32">
        <v>600</v>
      </c>
      <c r="E258" s="32">
        <v>1</v>
      </c>
      <c r="F258" s="32">
        <f t="shared" si="57"/>
        <v>600</v>
      </c>
      <c r="G258" s="32">
        <v>0</v>
      </c>
      <c r="H258" s="32">
        <f t="shared" si="58"/>
        <v>600</v>
      </c>
      <c r="I258" s="9" t="str">
        <f>CONCATENATE(Table2[[#This Row],[Specs]],Table2[[#This Row],[Width]])</f>
        <v>ユポ80 MD 8GB125</v>
      </c>
    </row>
    <row r="259" spans="1:9">
      <c r="A259" s="31" t="s">
        <v>385</v>
      </c>
      <c r="B259" s="32" t="s">
        <v>403</v>
      </c>
      <c r="C259" s="32">
        <v>165</v>
      </c>
      <c r="D259" s="32">
        <v>600</v>
      </c>
      <c r="E259" s="32">
        <v>1</v>
      </c>
      <c r="F259" s="32">
        <f t="shared" si="57"/>
        <v>600</v>
      </c>
      <c r="G259" s="32">
        <v>600</v>
      </c>
      <c r="H259" s="32">
        <f t="shared" si="58"/>
        <v>0</v>
      </c>
      <c r="I259" s="9" t="str">
        <f>CONCATENATE(Table2[[#This Row],[Specs]],Table2[[#This Row],[Width]])</f>
        <v>ユポ80 MD 8GB165</v>
      </c>
    </row>
    <row r="260" spans="1:9">
      <c r="A260" s="31" t="s">
        <v>385</v>
      </c>
      <c r="B260" s="32" t="s">
        <v>403</v>
      </c>
      <c r="C260" s="32">
        <v>205</v>
      </c>
      <c r="D260" s="32">
        <v>600</v>
      </c>
      <c r="E260" s="32">
        <v>1</v>
      </c>
      <c r="F260" s="32">
        <f t="shared" si="57"/>
        <v>600</v>
      </c>
      <c r="G260" s="32">
        <v>400</v>
      </c>
      <c r="H260" s="32">
        <f t="shared" si="58"/>
        <v>200</v>
      </c>
      <c r="I260" s="9" t="str">
        <f>CONCATENATE(Table2[[#This Row],[Specs]],Table2[[#This Row],[Width]])</f>
        <v>ユポ80 MD 8GB205</v>
      </c>
    </row>
    <row r="261" spans="1:9">
      <c r="A261" s="31" t="s">
        <v>385</v>
      </c>
      <c r="B261" s="32" t="s">
        <v>403</v>
      </c>
      <c r="C261" s="32">
        <v>215</v>
      </c>
      <c r="D261" s="32">
        <v>600</v>
      </c>
      <c r="E261" s="32">
        <v>1</v>
      </c>
      <c r="F261" s="32">
        <f t="shared" si="57"/>
        <v>600</v>
      </c>
      <c r="G261" s="32"/>
      <c r="H261" s="32">
        <f t="shared" si="58"/>
        <v>600</v>
      </c>
      <c r="I261" s="9" t="str">
        <f>CONCATENATE(Table2[[#This Row],[Specs]],Table2[[#This Row],[Width]])</f>
        <v>ユポ80 MD 8GB215</v>
      </c>
    </row>
    <row r="262" spans="1:9">
      <c r="A262" s="31" t="s">
        <v>385</v>
      </c>
      <c r="B262" s="32" t="s">
        <v>403</v>
      </c>
      <c r="C262" s="32">
        <v>185</v>
      </c>
      <c r="D262" s="32">
        <v>600</v>
      </c>
      <c r="E262" s="32">
        <v>1</v>
      </c>
      <c r="F262" s="32">
        <f t="shared" si="57"/>
        <v>600</v>
      </c>
      <c r="G262" s="32">
        <v>600</v>
      </c>
      <c r="H262" s="32">
        <f t="shared" si="58"/>
        <v>0</v>
      </c>
      <c r="I262" s="9" t="str">
        <f>CONCATENATE(Table2[[#This Row],[Specs]],Table2[[#This Row],[Width]])</f>
        <v>ユポ80 MD 8GB185</v>
      </c>
    </row>
    <row r="263" spans="1:9">
      <c r="A263" s="31" t="s">
        <v>385</v>
      </c>
      <c r="B263" s="32" t="s">
        <v>403</v>
      </c>
      <c r="C263" s="32">
        <v>185</v>
      </c>
      <c r="D263" s="32">
        <v>600</v>
      </c>
      <c r="E263" s="32">
        <v>1</v>
      </c>
      <c r="F263" s="32">
        <f t="shared" si="57"/>
        <v>600</v>
      </c>
      <c r="G263" s="32">
        <v>600</v>
      </c>
      <c r="H263" s="32">
        <f t="shared" si="58"/>
        <v>0</v>
      </c>
      <c r="I263" s="9" t="str">
        <f>CONCATENATE(Table2[[#This Row],[Specs]],Table2[[#This Row],[Width]])</f>
        <v>ユポ80 MD 8GB185</v>
      </c>
    </row>
    <row r="264" spans="1:9">
      <c r="A264" s="31" t="s">
        <v>385</v>
      </c>
      <c r="B264" s="32" t="s">
        <v>403</v>
      </c>
      <c r="C264" s="32">
        <v>215</v>
      </c>
      <c r="D264" s="32">
        <v>600</v>
      </c>
      <c r="E264" s="32">
        <v>1</v>
      </c>
      <c r="F264" s="32">
        <f t="shared" si="57"/>
        <v>600</v>
      </c>
      <c r="G264" s="32"/>
      <c r="H264" s="32">
        <f t="shared" si="58"/>
        <v>600</v>
      </c>
      <c r="I264" s="9" t="str">
        <f>CONCATENATE(Table2[[#This Row],[Specs]],Table2[[#This Row],[Width]])</f>
        <v>ユポ80 MD 8GB215</v>
      </c>
    </row>
    <row r="265" spans="1:9">
      <c r="A265" s="31" t="s">
        <v>385</v>
      </c>
      <c r="B265" s="32" t="s">
        <v>403</v>
      </c>
      <c r="C265" s="32">
        <v>185</v>
      </c>
      <c r="D265" s="32">
        <v>600</v>
      </c>
      <c r="E265" s="32">
        <v>1</v>
      </c>
      <c r="F265" s="32">
        <f t="shared" si="57"/>
        <v>600</v>
      </c>
      <c r="G265" s="32">
        <v>600</v>
      </c>
      <c r="H265" s="32">
        <f t="shared" si="58"/>
        <v>0</v>
      </c>
      <c r="I265" s="9" t="str">
        <f>CONCATENATE(Table2[[#This Row],[Specs]],Table2[[#This Row],[Width]])</f>
        <v>ユポ80 MD 8GB185</v>
      </c>
    </row>
    <row r="266" spans="1:9">
      <c r="A266" s="31" t="s">
        <v>385</v>
      </c>
      <c r="B266" s="32" t="s">
        <v>403</v>
      </c>
      <c r="C266" s="32">
        <v>165</v>
      </c>
      <c r="D266" s="32">
        <v>600</v>
      </c>
      <c r="E266" s="32">
        <v>2</v>
      </c>
      <c r="F266" s="32">
        <f t="shared" si="57"/>
        <v>1200</v>
      </c>
      <c r="G266" s="32">
        <v>1200</v>
      </c>
      <c r="H266" s="32">
        <f t="shared" si="58"/>
        <v>0</v>
      </c>
      <c r="I266" s="9" t="str">
        <f>CONCATENATE(Table2[[#This Row],[Specs]],Table2[[#This Row],[Width]])</f>
        <v>ユポ80 MD 8GB165</v>
      </c>
    </row>
    <row r="267" spans="1:9">
      <c r="A267" s="31" t="s">
        <v>386</v>
      </c>
      <c r="B267" s="32" t="s">
        <v>400</v>
      </c>
      <c r="C267" s="32">
        <v>160</v>
      </c>
      <c r="D267" s="32">
        <v>600</v>
      </c>
      <c r="E267" s="32">
        <v>2</v>
      </c>
      <c r="F267" s="32">
        <f t="shared" si="57"/>
        <v>1200</v>
      </c>
      <c r="G267" s="32">
        <v>1200</v>
      </c>
      <c r="H267" s="32">
        <f t="shared" si="58"/>
        <v>0</v>
      </c>
      <c r="I267" s="9" t="str">
        <f>CONCATENATE(Table2[[#This Row],[Specs]],Table2[[#This Row],[Width]])</f>
        <v>上質&lt;70&gt; ME 7GB160</v>
      </c>
    </row>
    <row r="268" spans="1:9">
      <c r="A268" s="31" t="s">
        <v>387</v>
      </c>
      <c r="B268" s="32" t="s">
        <v>402</v>
      </c>
      <c r="C268" s="32">
        <v>130</v>
      </c>
      <c r="D268" s="32">
        <v>300</v>
      </c>
      <c r="E268" s="32">
        <v>1</v>
      </c>
      <c r="F268" s="32">
        <f t="shared" ref="F268:F274" si="59">E268*D268</f>
        <v>300</v>
      </c>
      <c r="G268" s="32">
        <v>300</v>
      </c>
      <c r="H268" s="32">
        <f t="shared" ref="H268:H274" si="60">F268-G268</f>
        <v>0</v>
      </c>
      <c r="I268" s="9" t="str">
        <f>CONCATENATE(Table2[[#This Row],[Specs]],Table2[[#This Row],[Width]])</f>
        <v>上質&lt;55&gt; ME 7GB130</v>
      </c>
    </row>
    <row r="269" spans="1:9">
      <c r="A269" s="31" t="s">
        <v>389</v>
      </c>
      <c r="B269" s="32" t="s">
        <v>403</v>
      </c>
      <c r="C269" s="32">
        <v>165</v>
      </c>
      <c r="D269" s="32">
        <v>600</v>
      </c>
      <c r="E269" s="32">
        <v>3</v>
      </c>
      <c r="F269" s="32">
        <f t="shared" si="59"/>
        <v>1800</v>
      </c>
      <c r="G269" s="32">
        <v>1800</v>
      </c>
      <c r="H269" s="32">
        <f t="shared" si="60"/>
        <v>0</v>
      </c>
      <c r="I269" s="9" t="str">
        <f>CONCATENATE(Table2[[#This Row],[Specs]],Table2[[#This Row],[Width]])</f>
        <v>ユポ80 MD 8GB165</v>
      </c>
    </row>
    <row r="270" spans="1:9">
      <c r="A270" s="31" t="s">
        <v>390</v>
      </c>
      <c r="B270" s="32" t="s">
        <v>403</v>
      </c>
      <c r="C270" s="32">
        <v>185</v>
      </c>
      <c r="D270" s="32">
        <v>600</v>
      </c>
      <c r="E270" s="32">
        <v>1</v>
      </c>
      <c r="F270" s="32">
        <f t="shared" si="59"/>
        <v>600</v>
      </c>
      <c r="G270" s="32">
        <v>300</v>
      </c>
      <c r="H270" s="32">
        <f t="shared" si="60"/>
        <v>300</v>
      </c>
      <c r="I270" s="9" t="str">
        <f>CONCATENATE(Table2[[#This Row],[Specs]],Table2[[#This Row],[Width]])</f>
        <v>ユポ80 MD 8GB185</v>
      </c>
    </row>
    <row r="271" spans="1:9">
      <c r="A271" s="31" t="s">
        <v>390</v>
      </c>
      <c r="B271" s="32" t="s">
        <v>403</v>
      </c>
      <c r="C271" s="32">
        <v>165</v>
      </c>
      <c r="D271" s="32">
        <v>600</v>
      </c>
      <c r="E271" s="32">
        <v>2</v>
      </c>
      <c r="F271" s="32">
        <f t="shared" si="59"/>
        <v>1200</v>
      </c>
      <c r="G271" s="32">
        <v>1200</v>
      </c>
      <c r="H271" s="32">
        <f t="shared" si="60"/>
        <v>0</v>
      </c>
      <c r="I271" s="9" t="str">
        <f>CONCATENATE(Table2[[#This Row],[Specs]],Table2[[#This Row],[Width]])</f>
        <v>ユポ80 MD 8GB165</v>
      </c>
    </row>
    <row r="272" spans="1:9">
      <c r="A272" s="31" t="s">
        <v>391</v>
      </c>
      <c r="B272" s="32" t="s">
        <v>403</v>
      </c>
      <c r="C272" s="32">
        <v>140</v>
      </c>
      <c r="D272" s="32">
        <v>600</v>
      </c>
      <c r="E272" s="32">
        <v>1</v>
      </c>
      <c r="F272" s="32">
        <f t="shared" si="59"/>
        <v>600</v>
      </c>
      <c r="G272" s="32">
        <v>600</v>
      </c>
      <c r="H272" s="32">
        <f t="shared" si="60"/>
        <v>0</v>
      </c>
      <c r="I272" s="9" t="str">
        <f>CONCATENATE(Table2[[#This Row],[Specs]],Table2[[#This Row],[Width]])</f>
        <v>ユポ80 MD 8GB140</v>
      </c>
    </row>
    <row r="273" spans="1:9">
      <c r="A273" s="31" t="s">
        <v>391</v>
      </c>
      <c r="B273" s="32" t="s">
        <v>404</v>
      </c>
      <c r="C273" s="32">
        <v>110</v>
      </c>
      <c r="D273" s="32">
        <v>200</v>
      </c>
      <c r="E273" s="32">
        <v>1</v>
      </c>
      <c r="F273" s="32">
        <f t="shared" si="59"/>
        <v>200</v>
      </c>
      <c r="G273" s="32"/>
      <c r="H273" s="32">
        <f t="shared" si="60"/>
        <v>200</v>
      </c>
      <c r="I273" s="9" t="str">
        <f>CONCATENATE(Table2[[#This Row],[Specs]],Table2[[#This Row],[Width]])</f>
        <v>キャスト&lt;73&gt;ME80E110</v>
      </c>
    </row>
    <row r="274" spans="1:9">
      <c r="A274" s="31" t="s">
        <v>395</v>
      </c>
      <c r="B274" s="32" t="s">
        <v>403</v>
      </c>
      <c r="C274" s="32">
        <v>165</v>
      </c>
      <c r="D274" s="32">
        <v>600</v>
      </c>
      <c r="E274" s="32">
        <v>3</v>
      </c>
      <c r="F274" s="32">
        <f t="shared" si="59"/>
        <v>1800</v>
      </c>
      <c r="G274" s="32">
        <v>1800</v>
      </c>
      <c r="H274" s="32">
        <f t="shared" si="60"/>
        <v>0</v>
      </c>
      <c r="I274" s="9" t="str">
        <f>CONCATENATE(Table2[[#This Row],[Specs]],Table2[[#This Row],[Width]])</f>
        <v>ユポ80 MD 8GB165</v>
      </c>
    </row>
    <row r="275" spans="1:9">
      <c r="A275" s="31" t="s">
        <v>395</v>
      </c>
      <c r="B275" s="32" t="s">
        <v>403</v>
      </c>
      <c r="C275" s="32">
        <v>185</v>
      </c>
      <c r="D275" s="32">
        <v>600</v>
      </c>
      <c r="E275" s="32">
        <v>1</v>
      </c>
      <c r="F275" s="32">
        <f>E275*D275</f>
        <v>600</v>
      </c>
      <c r="G275" s="32">
        <v>400</v>
      </c>
      <c r="H275" s="32">
        <f>F275-G275</f>
        <v>200</v>
      </c>
      <c r="I275" s="9" t="str">
        <f>CONCATENATE(Table2[[#This Row],[Specs]],Table2[[#This Row],[Width]])</f>
        <v>ユポ80 MD 8GB185</v>
      </c>
    </row>
    <row r="276" spans="1:9">
      <c r="A276" s="31"/>
      <c r="B276" s="32"/>
      <c r="C276" s="32"/>
      <c r="D276" s="32"/>
      <c r="E276" s="32"/>
      <c r="F276" s="32">
        <f>E276*D276</f>
        <v>0</v>
      </c>
      <c r="G276" s="32"/>
      <c r="H276" s="32">
        <f>F276-G276</f>
        <v>0</v>
      </c>
      <c r="I276" s="9" t="str">
        <f>CONCATENATE(Table2[[#This Row],[Specs]],Table2[[#This Row],[Width]])</f>
        <v/>
      </c>
    </row>
  </sheetData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673100</xdr:colOff>
                    <xdr:row>2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ScrollToBotPaper" altText="Scroll Bottom">
                <anchor moveWithCells="1" sizeWithCells="1">
                  <from>
                    <xdr:col>3</xdr:col>
                    <xdr:colOff>0</xdr:colOff>
                    <xdr:row>1</xdr:row>
                    <xdr:rowOff>139700</xdr:rowOff>
                  </from>
                  <to>
                    <xdr:col>5</xdr:col>
                    <xdr:colOff>38100</xdr:colOff>
                    <xdr:row>2</xdr:row>
                    <xdr:rowOff>215900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C3"/>
  <sheetViews>
    <sheetView workbookViewId="0">
      <selection activeCell="C13" sqref="C13"/>
    </sheetView>
  </sheetViews>
  <sheetFormatPr baseColWidth="10" defaultColWidth="10.69921875" defaultRowHeight="22"/>
  <cols>
    <col min="2" max="2" width="20" bestFit="1" customWidth="1"/>
    <col min="3" max="3" width="49.59765625" bestFit="1" customWidth="1"/>
  </cols>
  <sheetData>
    <row r="1" spans="1:3">
      <c r="A1" s="6" t="s">
        <v>263</v>
      </c>
      <c r="B1" s="6" t="s">
        <v>264</v>
      </c>
      <c r="C1" s="6" t="s">
        <v>266</v>
      </c>
    </row>
    <row r="2" spans="1:3">
      <c r="A2" s="2">
        <v>44189</v>
      </c>
      <c r="B2" t="s">
        <v>265</v>
      </c>
      <c r="C2" t="s">
        <v>267</v>
      </c>
    </row>
    <row r="3" spans="1:3">
      <c r="A3" s="2">
        <v>44190</v>
      </c>
      <c r="B3" t="s">
        <v>265</v>
      </c>
      <c r="C3" t="s">
        <v>268</v>
      </c>
    </row>
  </sheetData>
  <phoneticPr fontId="3"/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9"/>
  <sheetViews>
    <sheetView zoomScaleNormal="100" workbookViewId="0">
      <selection activeCell="A10" sqref="A10"/>
    </sheetView>
  </sheetViews>
  <sheetFormatPr baseColWidth="10" defaultColWidth="8.69921875" defaultRowHeight="22"/>
  <cols>
    <col min="1" max="1" width="10.8984375" style="16" bestFit="1" customWidth="1"/>
    <col min="2" max="2" width="53" style="15" customWidth="1"/>
    <col min="3" max="16384" width="8.69921875" style="13"/>
  </cols>
  <sheetData>
    <row r="1" spans="1:2" ht="26" thickBot="1">
      <c r="A1" s="28" t="s">
        <v>208</v>
      </c>
      <c r="B1" s="29"/>
    </row>
    <row r="2" spans="1:2" ht="23">
      <c r="A2" s="14">
        <v>44061</v>
      </c>
      <c r="B2" s="18" t="s">
        <v>207</v>
      </c>
    </row>
    <row r="3" spans="1:2" ht="23">
      <c r="A3" s="14">
        <v>44062</v>
      </c>
      <c r="B3" s="17" t="s">
        <v>221</v>
      </c>
    </row>
    <row r="4" spans="1:2" ht="23">
      <c r="A4" s="14">
        <v>44063</v>
      </c>
      <c r="B4" s="17" t="s">
        <v>209</v>
      </c>
    </row>
    <row r="5" spans="1:2" ht="23">
      <c r="A5" s="14">
        <v>44064</v>
      </c>
      <c r="B5" s="17" t="s">
        <v>226</v>
      </c>
    </row>
    <row r="6" spans="1:2" ht="23">
      <c r="B6" s="17" t="s">
        <v>230</v>
      </c>
    </row>
    <row r="7" spans="1:2" ht="46">
      <c r="A7" s="16" t="s">
        <v>262</v>
      </c>
      <c r="B7" s="15" t="s">
        <v>269</v>
      </c>
    </row>
    <row r="8" spans="1:2" ht="46">
      <c r="A8" s="14">
        <v>44209</v>
      </c>
      <c r="B8" s="15" t="s">
        <v>272</v>
      </c>
    </row>
    <row r="9" spans="1:2" ht="23">
      <c r="A9" s="14">
        <v>44245</v>
      </c>
      <c r="B9" s="15" t="s">
        <v>288</v>
      </c>
    </row>
  </sheetData>
  <mergeCells count="1">
    <mergeCell ref="A1:B1"/>
  </mergeCells>
  <phoneticPr fontId="9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/>
  <dimension ref="A4:L101"/>
  <sheetViews>
    <sheetView topLeftCell="A15" zoomScale="102" workbookViewId="0">
      <selection activeCell="A32" sqref="A32"/>
    </sheetView>
  </sheetViews>
  <sheetFormatPr baseColWidth="10" defaultColWidth="14.59765625" defaultRowHeight="23"/>
  <cols>
    <col min="1" max="1" width="19.3984375" style="20" bestFit="1" customWidth="1"/>
    <col min="2" max="2" width="7.09765625" style="20" bestFit="1" customWidth="1"/>
    <col min="3" max="4" width="11" style="20" customWidth="1"/>
    <col min="5" max="5" width="5.69921875" style="20" customWidth="1"/>
    <col min="6" max="6" width="5.8984375" style="20" customWidth="1"/>
    <col min="7" max="7" width="5.69921875" style="20" bestFit="1" customWidth="1"/>
    <col min="8" max="8" width="12.796875" style="20" customWidth="1"/>
    <col min="9" max="9" width="11.19921875" style="20" customWidth="1"/>
    <col min="10" max="10" width="16.69921875" style="20" customWidth="1"/>
    <col min="11" max="11" width="21.3984375" style="20" customWidth="1"/>
    <col min="12" max="16384" width="14.59765625" style="20"/>
  </cols>
  <sheetData>
    <row r="4" spans="1:12">
      <c r="A4" s="22" t="s">
        <v>289</v>
      </c>
      <c r="B4" s="22" t="s">
        <v>1</v>
      </c>
      <c r="C4" s="22" t="s">
        <v>319</v>
      </c>
      <c r="D4" s="22" t="s">
        <v>320</v>
      </c>
      <c r="E4" s="22" t="s">
        <v>321</v>
      </c>
      <c r="F4" s="22" t="s">
        <v>299</v>
      </c>
      <c r="G4" s="22" t="s">
        <v>298</v>
      </c>
      <c r="H4" s="22" t="s">
        <v>322</v>
      </c>
      <c r="I4" s="22" t="s">
        <v>294</v>
      </c>
      <c r="J4" s="22" t="s">
        <v>295</v>
      </c>
      <c r="K4" s="22" t="s">
        <v>290</v>
      </c>
      <c r="L4" s="22" t="s">
        <v>291</v>
      </c>
    </row>
    <row r="5" spans="1:12">
      <c r="A5" s="20" t="s">
        <v>292</v>
      </c>
      <c r="C5" s="23"/>
      <c r="D5" s="20" t="s">
        <v>247</v>
      </c>
      <c r="F5" s="20">
        <v>0</v>
      </c>
      <c r="G5" s="20">
        <v>125</v>
      </c>
      <c r="H5" s="20">
        <v>1000</v>
      </c>
      <c r="I5" s="20">
        <v>2</v>
      </c>
      <c r="J5" s="21" t="s">
        <v>296</v>
      </c>
      <c r="K5" s="20">
        <v>20210215</v>
      </c>
      <c r="L5" s="20" t="s">
        <v>247</v>
      </c>
    </row>
    <row r="6" spans="1:12">
      <c r="A6" s="20" t="s">
        <v>293</v>
      </c>
      <c r="C6" s="23"/>
      <c r="D6" s="20" t="s">
        <v>247</v>
      </c>
      <c r="F6" s="20">
        <v>0</v>
      </c>
      <c r="G6" s="20">
        <v>185</v>
      </c>
      <c r="H6" s="20">
        <v>650</v>
      </c>
      <c r="I6" s="20">
        <v>1</v>
      </c>
      <c r="J6" s="21" t="s">
        <v>296</v>
      </c>
      <c r="K6" s="20">
        <v>20210215</v>
      </c>
      <c r="L6" s="20" t="s">
        <v>247</v>
      </c>
    </row>
    <row r="7" spans="1:12">
      <c r="A7" s="20" t="s">
        <v>297</v>
      </c>
      <c r="C7" s="23"/>
      <c r="D7" s="20" t="s">
        <v>247</v>
      </c>
      <c r="F7" s="20">
        <v>0</v>
      </c>
      <c r="G7" s="20">
        <v>165</v>
      </c>
      <c r="H7" s="20">
        <v>500</v>
      </c>
      <c r="I7" s="20">
        <v>1</v>
      </c>
      <c r="J7" s="21" t="s">
        <v>247</v>
      </c>
      <c r="K7" s="20">
        <v>20210203</v>
      </c>
      <c r="L7" s="20" t="s">
        <v>247</v>
      </c>
    </row>
    <row r="8" spans="1:12">
      <c r="A8" s="20" t="s">
        <v>300</v>
      </c>
      <c r="B8" s="20">
        <v>1</v>
      </c>
      <c r="C8" s="23"/>
      <c r="D8" s="20" t="s">
        <v>247</v>
      </c>
      <c r="F8" s="20">
        <v>0</v>
      </c>
      <c r="G8" s="20">
        <v>165</v>
      </c>
      <c r="H8" s="20">
        <v>1000</v>
      </c>
      <c r="I8" s="20">
        <v>2</v>
      </c>
      <c r="J8" s="21" t="s">
        <v>247</v>
      </c>
      <c r="K8" s="20">
        <v>20210202</v>
      </c>
      <c r="L8" s="20" t="s">
        <v>247</v>
      </c>
    </row>
    <row r="9" spans="1:12">
      <c r="A9" s="20" t="s">
        <v>301</v>
      </c>
      <c r="C9" s="23"/>
      <c r="D9" s="20" t="s">
        <v>247</v>
      </c>
      <c r="F9" s="20">
        <v>0</v>
      </c>
      <c r="G9" s="20">
        <v>165</v>
      </c>
      <c r="H9" s="20">
        <v>500</v>
      </c>
      <c r="I9" s="20">
        <v>1</v>
      </c>
      <c r="J9" s="21" t="s">
        <v>296</v>
      </c>
      <c r="K9" s="20">
        <v>20210216</v>
      </c>
      <c r="L9" s="20" t="s">
        <v>247</v>
      </c>
    </row>
    <row r="10" spans="1:12">
      <c r="A10" s="20" t="s">
        <v>302</v>
      </c>
      <c r="C10" s="23"/>
      <c r="D10" s="20" t="s">
        <v>247</v>
      </c>
      <c r="F10" s="20">
        <v>0</v>
      </c>
      <c r="G10" s="20">
        <v>165</v>
      </c>
      <c r="H10" s="20">
        <v>1500</v>
      </c>
      <c r="I10" s="20">
        <v>3</v>
      </c>
      <c r="J10" s="21" t="s">
        <v>296</v>
      </c>
      <c r="K10" s="20">
        <v>20210216</v>
      </c>
      <c r="L10" s="20" t="s">
        <v>247</v>
      </c>
    </row>
    <row r="11" spans="1:12">
      <c r="A11" s="20" t="s">
        <v>303</v>
      </c>
      <c r="C11" s="23"/>
      <c r="D11" s="20" t="s">
        <v>247</v>
      </c>
      <c r="F11" s="20">
        <v>0</v>
      </c>
      <c r="G11" s="20">
        <v>165</v>
      </c>
      <c r="H11" s="20">
        <v>500</v>
      </c>
      <c r="I11" s="20">
        <v>1</v>
      </c>
      <c r="J11" s="21" t="s">
        <v>247</v>
      </c>
      <c r="K11" s="20">
        <v>20200928</v>
      </c>
      <c r="L11" s="20" t="s">
        <v>247</v>
      </c>
    </row>
    <row r="12" spans="1:12">
      <c r="A12" s="20" t="s">
        <v>304</v>
      </c>
      <c r="C12" s="23"/>
      <c r="D12" s="20" t="s">
        <v>247</v>
      </c>
      <c r="F12" s="20">
        <v>0</v>
      </c>
      <c r="G12" s="20">
        <v>165</v>
      </c>
      <c r="H12" s="20">
        <v>600</v>
      </c>
      <c r="I12" s="20">
        <v>1</v>
      </c>
      <c r="J12" s="21" t="s">
        <v>247</v>
      </c>
      <c r="K12" s="20">
        <v>20200424</v>
      </c>
      <c r="L12" s="20" t="s">
        <v>247</v>
      </c>
    </row>
    <row r="13" spans="1:12">
      <c r="A13" s="20" t="s">
        <v>305</v>
      </c>
      <c r="C13" s="23"/>
      <c r="D13" s="20" t="s">
        <v>247</v>
      </c>
      <c r="F13" s="20">
        <v>0</v>
      </c>
      <c r="G13" s="20">
        <v>165</v>
      </c>
      <c r="H13" s="20">
        <v>1500</v>
      </c>
      <c r="I13" s="20" t="s">
        <v>247</v>
      </c>
      <c r="J13" s="21" t="s">
        <v>247</v>
      </c>
      <c r="K13" s="20">
        <v>20200424</v>
      </c>
      <c r="L13" s="20" t="s">
        <v>247</v>
      </c>
    </row>
    <row r="14" spans="1:12">
      <c r="A14" s="20" t="s">
        <v>306</v>
      </c>
      <c r="C14" s="23"/>
      <c r="D14" s="20" t="s">
        <v>247</v>
      </c>
      <c r="F14" s="20">
        <v>0</v>
      </c>
      <c r="G14" s="20">
        <v>165</v>
      </c>
      <c r="H14" s="20">
        <v>600</v>
      </c>
      <c r="I14" s="20">
        <v>2</v>
      </c>
      <c r="J14" s="21" t="s">
        <v>247</v>
      </c>
      <c r="K14" s="20">
        <v>20200928</v>
      </c>
      <c r="L14" s="20" t="s">
        <v>247</v>
      </c>
    </row>
    <row r="15" spans="1:12">
      <c r="A15" s="20" t="s">
        <v>307</v>
      </c>
      <c r="C15" s="23"/>
      <c r="D15" s="20" t="s">
        <v>247</v>
      </c>
      <c r="F15" s="20">
        <v>0</v>
      </c>
      <c r="G15" s="20">
        <v>125</v>
      </c>
      <c r="H15" s="20">
        <v>600</v>
      </c>
      <c r="I15" s="20">
        <v>1</v>
      </c>
      <c r="J15" s="21" t="s">
        <v>247</v>
      </c>
      <c r="K15" s="20">
        <v>20200528</v>
      </c>
      <c r="L15" s="20" t="s">
        <v>247</v>
      </c>
    </row>
    <row r="16" spans="1:12">
      <c r="A16" s="20" t="s">
        <v>308</v>
      </c>
      <c r="C16" s="23"/>
      <c r="D16" s="20" t="s">
        <v>247</v>
      </c>
      <c r="F16" s="20">
        <v>0</v>
      </c>
      <c r="G16" s="20">
        <v>140</v>
      </c>
      <c r="H16" s="20">
        <v>500</v>
      </c>
      <c r="I16" s="20">
        <v>1</v>
      </c>
      <c r="J16" s="21" t="s">
        <v>247</v>
      </c>
      <c r="K16" s="20">
        <v>20200907</v>
      </c>
      <c r="L16" s="20" t="s">
        <v>247</v>
      </c>
    </row>
    <row r="17" spans="1:12">
      <c r="A17" s="20" t="s">
        <v>309</v>
      </c>
      <c r="C17" s="23"/>
      <c r="D17" s="20" t="s">
        <v>247</v>
      </c>
      <c r="F17" s="20">
        <v>0</v>
      </c>
      <c r="G17" s="20">
        <v>155</v>
      </c>
      <c r="H17" s="20">
        <v>1500</v>
      </c>
      <c r="I17" s="20">
        <v>3</v>
      </c>
      <c r="J17" s="21" t="s">
        <v>247</v>
      </c>
      <c r="K17" s="20">
        <v>20200924</v>
      </c>
      <c r="L17" s="20" t="s">
        <v>247</v>
      </c>
    </row>
    <row r="18" spans="1:12">
      <c r="A18" s="20" t="s">
        <v>310</v>
      </c>
      <c r="C18" s="23"/>
      <c r="D18" s="20" t="s">
        <v>247</v>
      </c>
      <c r="F18" s="20">
        <v>0</v>
      </c>
      <c r="G18" s="20">
        <v>165</v>
      </c>
      <c r="H18" s="20">
        <v>700</v>
      </c>
      <c r="I18" s="20">
        <v>1</v>
      </c>
      <c r="J18" s="21" t="s">
        <v>247</v>
      </c>
      <c r="K18" s="20">
        <v>20200830</v>
      </c>
      <c r="L18" s="20" t="s">
        <v>247</v>
      </c>
    </row>
    <row r="19" spans="1:12">
      <c r="A19" s="20" t="s">
        <v>311</v>
      </c>
      <c r="C19" s="23"/>
      <c r="D19" s="20" t="s">
        <v>247</v>
      </c>
      <c r="F19" s="20">
        <v>0</v>
      </c>
      <c r="G19" s="20">
        <v>165</v>
      </c>
      <c r="H19" s="20">
        <v>1000</v>
      </c>
      <c r="I19" s="20">
        <v>2</v>
      </c>
      <c r="J19" s="21" t="s">
        <v>247</v>
      </c>
      <c r="K19" s="20">
        <v>20201005</v>
      </c>
      <c r="L19" s="20" t="s">
        <v>247</v>
      </c>
    </row>
    <row r="20" spans="1:12">
      <c r="A20" s="20" t="s">
        <v>312</v>
      </c>
      <c r="C20" s="23"/>
      <c r="D20" s="20" t="s">
        <v>247</v>
      </c>
      <c r="F20" s="20">
        <v>0</v>
      </c>
      <c r="G20" s="20">
        <v>90</v>
      </c>
      <c r="H20" s="20" t="s">
        <v>247</v>
      </c>
      <c r="I20" s="20">
        <v>4</v>
      </c>
      <c r="J20" s="21" t="s">
        <v>247</v>
      </c>
      <c r="K20" s="20" t="s">
        <v>247</v>
      </c>
      <c r="L20" s="20" t="s">
        <v>247</v>
      </c>
    </row>
    <row r="21" spans="1:12">
      <c r="A21" s="20" t="s">
        <v>313</v>
      </c>
      <c r="C21" s="23"/>
      <c r="D21" s="20" t="s">
        <v>247</v>
      </c>
      <c r="F21" s="20">
        <v>0</v>
      </c>
      <c r="G21" s="20">
        <v>165</v>
      </c>
      <c r="H21" s="20">
        <v>1500</v>
      </c>
      <c r="I21" s="20">
        <v>3</v>
      </c>
      <c r="J21" s="21" t="s">
        <v>247</v>
      </c>
      <c r="K21" s="20">
        <v>20201012</v>
      </c>
      <c r="L21" s="20" t="s">
        <v>247</v>
      </c>
    </row>
    <row r="22" spans="1:12">
      <c r="A22" s="20" t="s">
        <v>314</v>
      </c>
      <c r="C22" s="23"/>
      <c r="D22" s="20" t="s">
        <v>247</v>
      </c>
      <c r="F22" s="20">
        <v>0</v>
      </c>
      <c r="G22" s="20">
        <v>205</v>
      </c>
      <c r="H22" s="20">
        <v>1500</v>
      </c>
      <c r="I22" s="20" t="s">
        <v>247</v>
      </c>
      <c r="J22" s="21" t="s">
        <v>247</v>
      </c>
      <c r="K22" s="20">
        <v>20200702</v>
      </c>
      <c r="L22" s="20" t="s">
        <v>247</v>
      </c>
    </row>
    <row r="23" spans="1:12">
      <c r="A23" s="20" t="s">
        <v>315</v>
      </c>
      <c r="C23" s="23"/>
      <c r="D23" s="20" t="s">
        <v>247</v>
      </c>
      <c r="F23" s="20">
        <v>0</v>
      </c>
      <c r="G23" s="20">
        <v>185</v>
      </c>
      <c r="H23" s="20">
        <v>1500</v>
      </c>
      <c r="I23" s="20" t="s">
        <v>247</v>
      </c>
      <c r="J23" s="21" t="s">
        <v>247</v>
      </c>
      <c r="K23" s="20">
        <v>20201013</v>
      </c>
      <c r="L23" s="20" t="s">
        <v>247</v>
      </c>
    </row>
    <row r="24" spans="1:12">
      <c r="A24" s="20" t="s">
        <v>316</v>
      </c>
      <c r="C24" s="23"/>
      <c r="D24" s="20" t="s">
        <v>247</v>
      </c>
      <c r="F24" s="20">
        <v>1</v>
      </c>
      <c r="G24" s="20">
        <v>185</v>
      </c>
      <c r="H24" s="20">
        <v>600</v>
      </c>
      <c r="I24" s="20">
        <v>1</v>
      </c>
      <c r="J24" s="21" t="s">
        <v>247</v>
      </c>
      <c r="K24" s="20">
        <v>20200528</v>
      </c>
      <c r="L24" s="20" t="s">
        <v>247</v>
      </c>
    </row>
    <row r="25" spans="1:12">
      <c r="A25" s="20" t="s">
        <v>317</v>
      </c>
      <c r="B25" s="20">
        <v>1</v>
      </c>
      <c r="C25" s="23"/>
      <c r="D25" s="20" t="s">
        <v>247</v>
      </c>
      <c r="F25" s="20">
        <v>1</v>
      </c>
      <c r="G25" s="20">
        <v>185</v>
      </c>
      <c r="H25" s="20">
        <v>600</v>
      </c>
      <c r="I25" s="20">
        <v>1</v>
      </c>
      <c r="J25" s="21" t="s">
        <v>247</v>
      </c>
      <c r="K25" s="20">
        <v>20200424</v>
      </c>
      <c r="L25" s="20" t="s">
        <v>247</v>
      </c>
    </row>
    <row r="26" spans="1:12">
      <c r="A26" s="20" t="s">
        <v>318</v>
      </c>
      <c r="C26" s="23">
        <v>7150</v>
      </c>
      <c r="D26" s="20">
        <v>138613</v>
      </c>
      <c r="E26" s="20">
        <v>500</v>
      </c>
      <c r="F26" s="20">
        <v>0</v>
      </c>
      <c r="G26" s="20">
        <v>165</v>
      </c>
      <c r="H26" s="20">
        <v>700</v>
      </c>
      <c r="I26" s="20">
        <v>2</v>
      </c>
      <c r="J26" s="21" t="s">
        <v>296</v>
      </c>
      <c r="K26" s="20">
        <v>20210218</v>
      </c>
      <c r="L26" s="20">
        <v>3</v>
      </c>
    </row>
    <row r="27" spans="1:12">
      <c r="A27" s="20" t="s">
        <v>323</v>
      </c>
      <c r="C27" s="23">
        <v>15400</v>
      </c>
      <c r="D27" s="20">
        <v>138612</v>
      </c>
      <c r="E27" s="20">
        <v>500</v>
      </c>
      <c r="F27" s="20">
        <v>1</v>
      </c>
      <c r="G27" s="20">
        <v>185</v>
      </c>
      <c r="H27" s="20">
        <v>550</v>
      </c>
      <c r="I27" s="20">
        <v>1</v>
      </c>
      <c r="J27" s="21" t="s">
        <v>296</v>
      </c>
      <c r="K27" s="20">
        <v>20210218</v>
      </c>
      <c r="L27" s="20">
        <v>3</v>
      </c>
    </row>
    <row r="28" spans="1:12">
      <c r="A28" s="20" t="s">
        <v>325</v>
      </c>
      <c r="C28" s="23" t="s">
        <v>247</v>
      </c>
      <c r="D28" s="20" t="s">
        <v>247</v>
      </c>
      <c r="E28" s="20">
        <v>500</v>
      </c>
      <c r="F28" s="20">
        <v>0</v>
      </c>
      <c r="G28" s="20">
        <v>205</v>
      </c>
      <c r="H28" s="20">
        <v>800</v>
      </c>
      <c r="I28" s="20">
        <v>2</v>
      </c>
      <c r="J28" s="21" t="s">
        <v>296</v>
      </c>
      <c r="K28" s="20">
        <v>20210218</v>
      </c>
      <c r="L28" s="20" t="s">
        <v>247</v>
      </c>
    </row>
    <row r="29" spans="1:12">
      <c r="A29" s="20" t="s">
        <v>329</v>
      </c>
      <c r="C29" s="23">
        <v>14300</v>
      </c>
      <c r="D29" s="20">
        <v>138616</v>
      </c>
      <c r="E29" s="20">
        <v>1000</v>
      </c>
      <c r="F29" s="20">
        <v>0</v>
      </c>
      <c r="G29" s="20">
        <v>125</v>
      </c>
      <c r="H29" s="20">
        <v>1100</v>
      </c>
      <c r="I29" s="21" t="s">
        <v>327</v>
      </c>
      <c r="J29" s="21" t="s">
        <v>296</v>
      </c>
      <c r="K29" s="20">
        <v>20210219</v>
      </c>
      <c r="L29" s="20">
        <v>3</v>
      </c>
    </row>
    <row r="30" spans="1:12">
      <c r="A30" s="20" t="s">
        <v>328</v>
      </c>
      <c r="C30" s="23">
        <v>7150</v>
      </c>
      <c r="D30" s="20">
        <v>138615</v>
      </c>
      <c r="E30" s="20">
        <v>500</v>
      </c>
      <c r="F30" s="20">
        <v>0</v>
      </c>
      <c r="G30" s="20">
        <v>125</v>
      </c>
      <c r="H30" s="20">
        <v>560</v>
      </c>
      <c r="I30" s="21" t="s">
        <v>326</v>
      </c>
      <c r="J30" s="21" t="s">
        <v>296</v>
      </c>
      <c r="K30" s="20">
        <v>20210219</v>
      </c>
      <c r="L30" s="20">
        <v>3</v>
      </c>
    </row>
    <row r="31" spans="1:12">
      <c r="A31" s="20" t="s">
        <v>331</v>
      </c>
      <c r="C31" s="23">
        <v>14300</v>
      </c>
      <c r="D31" s="20">
        <v>138622</v>
      </c>
      <c r="E31" s="20">
        <v>1000</v>
      </c>
      <c r="F31" s="20">
        <v>1</v>
      </c>
      <c r="G31" s="20">
        <v>125</v>
      </c>
      <c r="H31" s="20">
        <v>262</v>
      </c>
      <c r="I31" s="21" t="s">
        <v>326</v>
      </c>
      <c r="J31" s="21" t="s">
        <v>296</v>
      </c>
      <c r="K31" s="20">
        <v>20210225</v>
      </c>
      <c r="L31" s="20" t="s">
        <v>247</v>
      </c>
    </row>
    <row r="32" spans="1:12">
      <c r="C32" s="23"/>
      <c r="I32" s="21"/>
      <c r="J32" s="21"/>
    </row>
    <row r="33" spans="9:9">
      <c r="I33" s="21"/>
    </row>
    <row r="34" spans="9:9">
      <c r="I34" s="21"/>
    </row>
    <row r="35" spans="9:9">
      <c r="I35" s="21"/>
    </row>
    <row r="36" spans="9:9">
      <c r="I36" s="21"/>
    </row>
    <row r="37" spans="9:9">
      <c r="I37" s="21"/>
    </row>
    <row r="38" spans="9:9">
      <c r="I38" s="21"/>
    </row>
    <row r="39" spans="9:9">
      <c r="I39" s="21"/>
    </row>
    <row r="40" spans="9:9">
      <c r="I40" s="21"/>
    </row>
    <row r="41" spans="9:9">
      <c r="I41" s="21"/>
    </row>
    <row r="42" spans="9:9">
      <c r="I42" s="21"/>
    </row>
    <row r="43" spans="9:9">
      <c r="I43" s="21"/>
    </row>
    <row r="44" spans="9:9">
      <c r="I44" s="21"/>
    </row>
    <row r="45" spans="9:9">
      <c r="I45" s="21"/>
    </row>
    <row r="46" spans="9:9">
      <c r="I46" s="21"/>
    </row>
    <row r="47" spans="9:9">
      <c r="I47" s="21"/>
    </row>
    <row r="48" spans="9:9">
      <c r="I48" s="21"/>
    </row>
    <row r="49" spans="9:9">
      <c r="I49" s="21"/>
    </row>
    <row r="50" spans="9:9">
      <c r="I50" s="21"/>
    </row>
    <row r="51" spans="9:9">
      <c r="I51" s="21"/>
    </row>
    <row r="52" spans="9:9">
      <c r="I52" s="21"/>
    </row>
    <row r="53" spans="9:9">
      <c r="I53" s="21"/>
    </row>
    <row r="54" spans="9:9">
      <c r="I54" s="21"/>
    </row>
    <row r="55" spans="9:9">
      <c r="I55" s="21"/>
    </row>
    <row r="56" spans="9:9">
      <c r="I56" s="21"/>
    </row>
    <row r="57" spans="9:9">
      <c r="I57" s="21"/>
    </row>
    <row r="58" spans="9:9">
      <c r="I58" s="21"/>
    </row>
    <row r="59" spans="9:9">
      <c r="I59" s="21"/>
    </row>
    <row r="60" spans="9:9">
      <c r="I60" s="21"/>
    </row>
    <row r="61" spans="9:9">
      <c r="I61" s="21"/>
    </row>
    <row r="62" spans="9:9">
      <c r="I62" s="21"/>
    </row>
    <row r="63" spans="9:9">
      <c r="I63" s="21"/>
    </row>
    <row r="64" spans="9:9">
      <c r="I64" s="21"/>
    </row>
    <row r="65" spans="9:9">
      <c r="I65" s="21"/>
    </row>
    <row r="66" spans="9:9">
      <c r="I66" s="21"/>
    </row>
    <row r="67" spans="9:9">
      <c r="I67" s="21"/>
    </row>
    <row r="68" spans="9:9">
      <c r="I68" s="21"/>
    </row>
    <row r="69" spans="9:9">
      <c r="I69" s="21"/>
    </row>
    <row r="70" spans="9:9">
      <c r="I70" s="21"/>
    </row>
    <row r="71" spans="9:9">
      <c r="I71" s="21"/>
    </row>
    <row r="72" spans="9:9">
      <c r="I72" s="21"/>
    </row>
    <row r="73" spans="9:9">
      <c r="I73" s="21"/>
    </row>
    <row r="74" spans="9:9">
      <c r="I74" s="21"/>
    </row>
    <row r="75" spans="9:9">
      <c r="I75" s="21"/>
    </row>
    <row r="76" spans="9:9">
      <c r="I76" s="21"/>
    </row>
    <row r="77" spans="9:9">
      <c r="I77" s="21"/>
    </row>
    <row r="78" spans="9:9">
      <c r="I78" s="21"/>
    </row>
    <row r="79" spans="9:9">
      <c r="I79" s="21"/>
    </row>
    <row r="80" spans="9:9">
      <c r="I80" s="21"/>
    </row>
    <row r="81" spans="9:9">
      <c r="I81" s="21"/>
    </row>
    <row r="82" spans="9:9">
      <c r="I82" s="21"/>
    </row>
    <row r="83" spans="9:9">
      <c r="I83" s="21"/>
    </row>
    <row r="84" spans="9:9">
      <c r="I84" s="21"/>
    </row>
    <row r="85" spans="9:9">
      <c r="I85" s="21"/>
    </row>
    <row r="86" spans="9:9">
      <c r="I86" s="21"/>
    </row>
    <row r="87" spans="9:9">
      <c r="I87" s="21"/>
    </row>
    <row r="88" spans="9:9">
      <c r="I88" s="21"/>
    </row>
    <row r="89" spans="9:9">
      <c r="I89" s="21"/>
    </row>
    <row r="90" spans="9:9">
      <c r="I90" s="21"/>
    </row>
    <row r="91" spans="9:9">
      <c r="I91" s="21"/>
    </row>
    <row r="92" spans="9:9">
      <c r="I92" s="21"/>
    </row>
    <row r="93" spans="9:9">
      <c r="I93" s="21"/>
    </row>
    <row r="94" spans="9:9">
      <c r="I94" s="21"/>
    </row>
    <row r="95" spans="9:9">
      <c r="I95" s="21"/>
    </row>
    <row r="96" spans="9:9">
      <c r="I96" s="21"/>
    </row>
    <row r="97" spans="9:9">
      <c r="I97" s="21"/>
    </row>
    <row r="98" spans="9:9">
      <c r="I98" s="21"/>
    </row>
    <row r="99" spans="9:9">
      <c r="I99" s="21"/>
    </row>
    <row r="100" spans="9:9">
      <c r="I100" s="21"/>
    </row>
    <row r="101" spans="9:9">
      <c r="I101" s="21"/>
    </row>
  </sheetData>
  <phoneticPr fontId="3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168</v>
      </c>
      <c r="B1" s="1" t="s">
        <v>169</v>
      </c>
    </row>
    <row r="2" spans="1:2" ht="21.75" customHeight="1">
      <c r="A2" s="1" t="s">
        <v>170</v>
      </c>
      <c r="B2" s="2">
        <v>43237</v>
      </c>
    </row>
    <row r="3" spans="1:2" ht="21.75" customHeight="1">
      <c r="A3" s="1" t="s">
        <v>171</v>
      </c>
      <c r="B3" s="2">
        <v>43237</v>
      </c>
    </row>
    <row r="4" spans="1:2" ht="21.75" customHeight="1">
      <c r="A4" s="1" t="s">
        <v>60</v>
      </c>
      <c r="B4" s="2">
        <v>43272</v>
      </c>
    </row>
    <row r="5" spans="1:2" ht="21.75" customHeight="1">
      <c r="A5" s="1" t="s">
        <v>172</v>
      </c>
      <c r="B5" s="2">
        <v>43272</v>
      </c>
    </row>
    <row r="6" spans="1:2" ht="21.75" customHeight="1">
      <c r="A6" s="1" t="s">
        <v>173</v>
      </c>
      <c r="B6" s="2">
        <v>43272</v>
      </c>
    </row>
    <row r="7" spans="1:2" ht="21.75" customHeight="1">
      <c r="A7" s="1" t="s">
        <v>174</v>
      </c>
      <c r="B7" s="2">
        <v>43272</v>
      </c>
    </row>
    <row r="8" spans="1:2" ht="21.75" customHeight="1">
      <c r="A8" s="1" t="s">
        <v>175</v>
      </c>
      <c r="B8" s="2">
        <v>43279</v>
      </c>
    </row>
    <row r="9" spans="1:2" ht="21.75" customHeight="1">
      <c r="A9" s="1" t="s">
        <v>176</v>
      </c>
      <c r="B9" s="2">
        <v>43293</v>
      </c>
    </row>
    <row r="10" spans="1:2" ht="21.75" customHeight="1">
      <c r="A10" s="1" t="s">
        <v>177</v>
      </c>
      <c r="B10" s="2">
        <v>43307</v>
      </c>
    </row>
    <row r="11" spans="1:2" ht="21.75" customHeight="1">
      <c r="A11" s="1" t="s">
        <v>178</v>
      </c>
      <c r="B11" s="2">
        <v>43307</v>
      </c>
    </row>
    <row r="12" spans="1:2" ht="21.75" customHeight="1">
      <c r="A12" s="1" t="s">
        <v>179</v>
      </c>
      <c r="B12" s="2">
        <v>43390</v>
      </c>
    </row>
    <row r="13" spans="1:2" ht="21.75" customHeight="1">
      <c r="A13" s="1" t="s">
        <v>180</v>
      </c>
      <c r="B13" s="2">
        <v>43511</v>
      </c>
    </row>
    <row r="14" spans="1:2" ht="21.75" customHeight="1">
      <c r="A14" s="1" t="s">
        <v>181</v>
      </c>
      <c r="B14" s="2">
        <v>43521</v>
      </c>
    </row>
    <row r="15" spans="1:2" ht="21.75" customHeight="1">
      <c r="A15" s="1" t="s">
        <v>182</v>
      </c>
      <c r="B15" s="2">
        <v>43571</v>
      </c>
    </row>
    <row r="16" spans="1:2" ht="21.75" customHeight="1">
      <c r="A16" s="1" t="s">
        <v>183</v>
      </c>
      <c r="B16" s="2">
        <v>43573</v>
      </c>
    </row>
    <row r="17" spans="1:2" ht="21.75" customHeight="1">
      <c r="A17" s="1" t="s">
        <v>184</v>
      </c>
      <c r="B17" s="2">
        <v>43577</v>
      </c>
    </row>
    <row r="18" spans="1:2" ht="21.75" customHeight="1">
      <c r="A18" s="1" t="s">
        <v>185</v>
      </c>
      <c r="B18" s="2">
        <v>43605</v>
      </c>
    </row>
    <row r="19" spans="1:2" ht="21.75" customHeight="1">
      <c r="A19" s="3" t="s">
        <v>186</v>
      </c>
      <c r="B19" s="2">
        <v>43669</v>
      </c>
    </row>
    <row r="20" spans="1:2" ht="21.75" customHeight="1">
      <c r="A20" s="1" t="s">
        <v>187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16</v>
      </c>
      <c r="B1" s="1" t="s">
        <v>17</v>
      </c>
      <c r="C1" s="1" t="s">
        <v>19</v>
      </c>
    </row>
    <row r="2" spans="1:3" ht="21.75" customHeight="1">
      <c r="A2" s="3" t="s">
        <v>77</v>
      </c>
      <c r="B2" s="4">
        <v>43742</v>
      </c>
      <c r="C2" s="4">
        <v>43482</v>
      </c>
    </row>
    <row r="3" spans="1:3" ht="21.75" customHeight="1">
      <c r="A3" s="3" t="s">
        <v>106</v>
      </c>
      <c r="B3" s="4">
        <v>43742</v>
      </c>
      <c r="C3" s="4">
        <v>43293</v>
      </c>
    </row>
    <row r="4" spans="1:3" ht="21.75" customHeight="1">
      <c r="A4" s="3" t="s">
        <v>188</v>
      </c>
      <c r="B4" s="4">
        <v>43307</v>
      </c>
      <c r="C4" s="4">
        <v>43307</v>
      </c>
    </row>
    <row r="5" spans="1:3" ht="21.75" customHeight="1">
      <c r="A5" s="3" t="s">
        <v>26</v>
      </c>
      <c r="B5" s="4">
        <v>43307</v>
      </c>
      <c r="C5" s="4">
        <v>43307</v>
      </c>
    </row>
    <row r="6" spans="1:3" ht="21.75" customHeight="1">
      <c r="A6" s="3" t="s">
        <v>90</v>
      </c>
      <c r="B6" s="4">
        <v>43272</v>
      </c>
      <c r="C6" s="4">
        <v>43272</v>
      </c>
    </row>
    <row r="7" spans="1:3" ht="21.75" customHeight="1">
      <c r="A7" s="3" t="s">
        <v>138</v>
      </c>
      <c r="B7" s="4">
        <v>43101</v>
      </c>
      <c r="C7" s="4">
        <v>43293</v>
      </c>
    </row>
    <row r="8" spans="1:3" ht="21.75" customHeight="1">
      <c r="A8" s="3" t="s">
        <v>129</v>
      </c>
      <c r="B8" s="4">
        <v>43573</v>
      </c>
      <c r="C8" s="4">
        <v>43573</v>
      </c>
    </row>
    <row r="9" spans="1:3" ht="21.75" customHeight="1">
      <c r="A9" s="3" t="s">
        <v>91</v>
      </c>
      <c r="B9" s="4">
        <v>43573</v>
      </c>
      <c r="C9" s="4">
        <v>43573</v>
      </c>
    </row>
    <row r="10" spans="1:3" ht="21.75" customHeight="1">
      <c r="A10" s="3" t="s">
        <v>102</v>
      </c>
      <c r="B10" s="4">
        <v>43571</v>
      </c>
      <c r="C10" s="4">
        <v>43573</v>
      </c>
    </row>
    <row r="11" spans="1:3" ht="21.75" customHeight="1">
      <c r="A11" s="3" t="s">
        <v>123</v>
      </c>
      <c r="B11" s="4">
        <v>43573</v>
      </c>
      <c r="C11" s="4">
        <v>43573</v>
      </c>
    </row>
    <row r="12" spans="1:3" ht="21.75" customHeight="1">
      <c r="A12" s="3" t="s">
        <v>46</v>
      </c>
      <c r="B12" s="4">
        <v>43634</v>
      </c>
      <c r="C12" s="4">
        <v>43518</v>
      </c>
    </row>
    <row r="13" spans="1:3" ht="21.75" customHeight="1">
      <c r="A13" s="3" t="s">
        <v>125</v>
      </c>
      <c r="B13" s="4">
        <v>43747</v>
      </c>
      <c r="C13" s="4">
        <v>43521</v>
      </c>
    </row>
    <row r="14" spans="1:3" ht="21.75" customHeight="1">
      <c r="A14" s="3" t="s">
        <v>119</v>
      </c>
      <c r="B14" s="4">
        <v>43571</v>
      </c>
      <c r="C14" s="4">
        <v>43571</v>
      </c>
    </row>
    <row r="15" spans="1:3" ht="21.75" customHeight="1">
      <c r="A15" s="1" t="s">
        <v>150</v>
      </c>
      <c r="C15" s="2">
        <v>43573</v>
      </c>
    </row>
    <row r="16" spans="1:3" ht="21.75" customHeight="1">
      <c r="A16" s="3" t="s">
        <v>69</v>
      </c>
      <c r="C16" s="2">
        <v>43573</v>
      </c>
    </row>
    <row r="17" spans="1:3" ht="21.75" customHeight="1">
      <c r="A17" s="1" t="s">
        <v>118</v>
      </c>
      <c r="B17" s="4">
        <v>43573</v>
      </c>
      <c r="C17" s="2">
        <v>43578</v>
      </c>
    </row>
    <row r="18" spans="1:3" ht="21.75" customHeight="1">
      <c r="A18" s="1" t="s">
        <v>147</v>
      </c>
      <c r="C18" s="2">
        <v>43578</v>
      </c>
    </row>
    <row r="19" spans="1:3" ht="21.75" customHeight="1">
      <c r="A19" s="1" t="s">
        <v>73</v>
      </c>
      <c r="C19" s="2">
        <v>43580</v>
      </c>
    </row>
    <row r="20" spans="1:3" ht="21.75" customHeight="1">
      <c r="A20" s="1" t="s">
        <v>84</v>
      </c>
      <c r="C20" s="2">
        <v>43580</v>
      </c>
    </row>
    <row r="21" spans="1:3" ht="21.75" customHeight="1">
      <c r="A21" s="3" t="s">
        <v>95</v>
      </c>
      <c r="C21" s="2">
        <v>43605</v>
      </c>
    </row>
    <row r="22" spans="1:3" ht="21.75" customHeight="1">
      <c r="A22" s="1" t="s">
        <v>78</v>
      </c>
      <c r="C22" s="2">
        <v>43605</v>
      </c>
    </row>
    <row r="23" spans="1:3" ht="21.75" customHeight="1">
      <c r="A23" s="1" t="s">
        <v>152</v>
      </c>
      <c r="C23" s="2">
        <v>43605</v>
      </c>
    </row>
    <row r="24" spans="1:3" ht="21.75" customHeight="1">
      <c r="A24" s="1" t="s">
        <v>33</v>
      </c>
      <c r="C24" s="2">
        <v>43621</v>
      </c>
    </row>
    <row r="25" spans="1:3" ht="21.75" customHeight="1">
      <c r="A25" s="1" t="s">
        <v>163</v>
      </c>
      <c r="C25" s="2">
        <v>43621</v>
      </c>
    </row>
    <row r="26" spans="1:3" ht="21.75" customHeight="1">
      <c r="A26" s="3" t="s">
        <v>132</v>
      </c>
      <c r="C26" s="2">
        <v>43621</v>
      </c>
    </row>
    <row r="27" spans="1:3" ht="21.75" customHeight="1">
      <c r="A27" s="1" t="s">
        <v>131</v>
      </c>
      <c r="C27" s="2">
        <v>43621</v>
      </c>
    </row>
    <row r="28" spans="1:3" ht="21.75" customHeight="1">
      <c r="A28" s="1" t="s">
        <v>144</v>
      </c>
      <c r="C28" s="2">
        <v>43628</v>
      </c>
    </row>
    <row r="29" spans="1:3" ht="21.75" customHeight="1">
      <c r="A29" s="1" t="s">
        <v>143</v>
      </c>
      <c r="C29" s="2">
        <v>43629</v>
      </c>
    </row>
    <row r="30" spans="1:3" ht="21.75" customHeight="1">
      <c r="A30" s="1" t="s">
        <v>167</v>
      </c>
      <c r="C30" s="2">
        <v>43650</v>
      </c>
    </row>
    <row r="31" spans="1:3" ht="21.75" customHeight="1">
      <c r="A31" s="1" t="s">
        <v>136</v>
      </c>
      <c r="C31" s="2">
        <v>43669</v>
      </c>
    </row>
    <row r="32" spans="1:3" ht="21.75" customHeight="1">
      <c r="A32" s="1" t="s">
        <v>151</v>
      </c>
      <c r="C32" s="2">
        <v>43668</v>
      </c>
    </row>
    <row r="33" spans="1:3" ht="21.75" customHeight="1">
      <c r="A33" s="1" t="s">
        <v>156</v>
      </c>
      <c r="C33" s="2">
        <v>43668</v>
      </c>
    </row>
    <row r="34" spans="1:3" ht="21.75" customHeight="1">
      <c r="A34" s="3" t="s">
        <v>124</v>
      </c>
      <c r="C34" s="2">
        <v>43677</v>
      </c>
    </row>
    <row r="35" spans="1:3" ht="21.75" customHeight="1">
      <c r="A35" s="1" t="s">
        <v>103</v>
      </c>
      <c r="C35" s="2">
        <v>43677</v>
      </c>
    </row>
    <row r="36" spans="1:3" ht="21.75" customHeight="1">
      <c r="A36" s="3" t="s">
        <v>108</v>
      </c>
      <c r="C36" s="2">
        <v>43678</v>
      </c>
    </row>
    <row r="37" spans="1:3" ht="21.75" customHeight="1">
      <c r="A37" s="1" t="s">
        <v>72</v>
      </c>
      <c r="C37" s="2">
        <v>43679</v>
      </c>
    </row>
    <row r="38" spans="1:3" ht="21.75" customHeight="1">
      <c r="A38" s="1" t="s">
        <v>112</v>
      </c>
      <c r="C38" s="2">
        <v>43699</v>
      </c>
    </row>
    <row r="39" spans="1:3" ht="21.75" customHeight="1">
      <c r="A39" s="1" t="s">
        <v>27</v>
      </c>
      <c r="C39" s="2">
        <v>43699</v>
      </c>
    </row>
    <row r="40" spans="1:3" ht="21.75" customHeight="1">
      <c r="A40" s="1" t="s">
        <v>22</v>
      </c>
      <c r="C40" s="2">
        <v>43704</v>
      </c>
    </row>
    <row r="41" spans="1:3" ht="21.75" customHeight="1">
      <c r="A41" s="1" t="s">
        <v>133</v>
      </c>
      <c r="C41" s="2">
        <v>43707</v>
      </c>
    </row>
    <row r="42" spans="1:3" ht="21.75" customHeight="1">
      <c r="A42" s="1" t="s">
        <v>76</v>
      </c>
      <c r="C42" s="2">
        <v>43710</v>
      </c>
    </row>
    <row r="43" spans="1:3" ht="21.75" customHeight="1">
      <c r="A43" s="1" t="s">
        <v>116</v>
      </c>
      <c r="C43" s="2">
        <v>43711</v>
      </c>
    </row>
    <row r="44" spans="1:3" ht="21.75" customHeight="1">
      <c r="A44" s="3" t="s">
        <v>24</v>
      </c>
      <c r="C44" s="2">
        <v>43711</v>
      </c>
    </row>
    <row r="45" spans="1:3" ht="21.75" customHeight="1">
      <c r="A45" s="1" t="s">
        <v>25</v>
      </c>
      <c r="C45" s="2">
        <v>43720</v>
      </c>
    </row>
    <row r="46" spans="1:3" ht="21.75" customHeight="1">
      <c r="A46" s="1" t="s">
        <v>98</v>
      </c>
      <c r="C46" s="2">
        <v>43720</v>
      </c>
    </row>
    <row r="47" spans="1:3" ht="21.75" customHeight="1">
      <c r="A47" s="1" t="s">
        <v>86</v>
      </c>
      <c r="C47" s="2">
        <v>43732</v>
      </c>
    </row>
    <row r="48" spans="1:3" ht="21.75" customHeight="1">
      <c r="A48" s="1" t="s">
        <v>113</v>
      </c>
      <c r="C48" s="2">
        <v>43732</v>
      </c>
    </row>
    <row r="49" spans="1:3" ht="21.75" customHeight="1">
      <c r="A49" s="1" t="s">
        <v>161</v>
      </c>
      <c r="C49" s="2">
        <v>43732</v>
      </c>
    </row>
    <row r="50" spans="1:3" ht="21.75" customHeight="1">
      <c r="A50" s="1" t="s">
        <v>139</v>
      </c>
      <c r="C50" s="2">
        <v>43740</v>
      </c>
    </row>
    <row r="51" spans="1:3" ht="21.75" customHeight="1">
      <c r="A51" s="1" t="s">
        <v>137</v>
      </c>
      <c r="C51" s="2">
        <v>43742</v>
      </c>
    </row>
    <row r="52" spans="1:3" ht="21.75" customHeight="1">
      <c r="A52" s="1" t="s">
        <v>79</v>
      </c>
      <c r="C52" s="2">
        <v>43756</v>
      </c>
    </row>
    <row r="53" spans="1:3" ht="21.75" customHeight="1">
      <c r="A53" s="1" t="s">
        <v>85</v>
      </c>
      <c r="C53" s="2">
        <v>43756</v>
      </c>
    </row>
    <row r="54" spans="1:3" ht="21.75" customHeight="1">
      <c r="A54" s="1" t="s">
        <v>126</v>
      </c>
      <c r="C54" s="2">
        <v>43756</v>
      </c>
    </row>
    <row r="55" spans="1:3" ht="21.75" customHeight="1">
      <c r="A55" s="1" t="s">
        <v>134</v>
      </c>
      <c r="C55" s="2">
        <v>43756</v>
      </c>
    </row>
    <row r="56" spans="1:3" ht="21.75" customHeight="1">
      <c r="A56" s="1" t="s">
        <v>47</v>
      </c>
      <c r="C56" s="2">
        <v>43761</v>
      </c>
    </row>
    <row r="57" spans="1:3" ht="21.75" customHeight="1">
      <c r="A57" s="3" t="s">
        <v>93</v>
      </c>
      <c r="C57" s="2">
        <v>43770</v>
      </c>
    </row>
    <row r="58" spans="1:3" ht="21.75" customHeight="1">
      <c r="A58" s="3" t="s">
        <v>35</v>
      </c>
      <c r="C58" s="2">
        <v>43796</v>
      </c>
    </row>
    <row r="59" spans="1:3" ht="21.75" customHeight="1">
      <c r="A59" s="3" t="s">
        <v>67</v>
      </c>
      <c r="C59" s="2">
        <v>43796</v>
      </c>
    </row>
    <row r="60" spans="1:3" ht="21.75" customHeight="1">
      <c r="A60" s="1" t="s">
        <v>154</v>
      </c>
      <c r="C60" s="2">
        <v>43796</v>
      </c>
    </row>
    <row r="61" spans="1:3" ht="21.75" customHeight="1">
      <c r="A61" s="1" t="s">
        <v>135</v>
      </c>
      <c r="C61" s="2">
        <v>43805</v>
      </c>
    </row>
    <row r="62" spans="1:3" ht="21.75" customHeight="1">
      <c r="A62" s="1" t="s">
        <v>37</v>
      </c>
      <c r="C62" s="2">
        <v>43805</v>
      </c>
    </row>
    <row r="63" spans="1:3" ht="21.75" customHeight="1">
      <c r="A63" s="1" t="s">
        <v>89</v>
      </c>
      <c r="C63" s="2">
        <v>43805</v>
      </c>
    </row>
    <row r="64" spans="1:3" ht="21.75" customHeight="1">
      <c r="A64" s="1" t="s">
        <v>34</v>
      </c>
      <c r="B64" s="2">
        <v>43815</v>
      </c>
      <c r="C64" s="2">
        <v>43805</v>
      </c>
    </row>
    <row r="65" spans="1:3" ht="21.75" customHeight="1">
      <c r="A65" s="1" t="s">
        <v>158</v>
      </c>
      <c r="C65" s="2">
        <v>43805</v>
      </c>
    </row>
    <row r="66" spans="1:3" ht="21.75" customHeight="1">
      <c r="A66" s="1" t="s">
        <v>65</v>
      </c>
      <c r="C66" s="2">
        <v>43811</v>
      </c>
    </row>
    <row r="67" spans="1:3" ht="21.75" customHeight="1">
      <c r="A67" s="1" t="s">
        <v>82</v>
      </c>
      <c r="C67" s="2">
        <v>43812</v>
      </c>
    </row>
    <row r="68" spans="1:3" ht="21.75" customHeight="1">
      <c r="A68" s="1" t="s">
        <v>153</v>
      </c>
      <c r="C68" s="2">
        <v>43825</v>
      </c>
    </row>
    <row r="69" spans="1:3" ht="21.75" customHeight="1">
      <c r="A69" s="1" t="s">
        <v>42</v>
      </c>
      <c r="C69" s="2">
        <v>43837</v>
      </c>
    </row>
    <row r="70" spans="1:3" ht="21.75" customHeight="1">
      <c r="A70" s="1" t="s">
        <v>71</v>
      </c>
      <c r="C70" s="2">
        <v>43844</v>
      </c>
    </row>
    <row r="71" spans="1:3" ht="21.75" customHeight="1">
      <c r="A71" s="1" t="s">
        <v>23</v>
      </c>
      <c r="C71" s="2">
        <v>43847</v>
      </c>
    </row>
    <row r="72" spans="1:3" ht="21.75" customHeight="1">
      <c r="A72" s="1" t="s">
        <v>99</v>
      </c>
      <c r="C72" s="2">
        <v>43850</v>
      </c>
    </row>
    <row r="73" spans="1:3" ht="21.75" customHeight="1">
      <c r="A73" s="1" t="s">
        <v>155</v>
      </c>
      <c r="C73" s="2">
        <v>43850</v>
      </c>
    </row>
    <row r="74" spans="1:3" ht="21.75" customHeight="1">
      <c r="A74" s="1" t="s">
        <v>162</v>
      </c>
      <c r="C74" s="2">
        <v>43858</v>
      </c>
    </row>
    <row r="75" spans="1:3" ht="21.75" customHeight="1">
      <c r="A75" s="1" t="s">
        <v>145</v>
      </c>
      <c r="C75" s="2">
        <v>43861</v>
      </c>
    </row>
    <row r="76" spans="1:3" ht="21.75" customHeight="1">
      <c r="A76" s="1" t="s">
        <v>68</v>
      </c>
      <c r="C76" s="2">
        <v>43861</v>
      </c>
    </row>
    <row r="77" spans="1:3" ht="21.75" customHeight="1">
      <c r="A77" s="1" t="s">
        <v>148</v>
      </c>
      <c r="C77" s="2">
        <v>43886</v>
      </c>
    </row>
    <row r="78" spans="1:3" ht="21.75" customHeight="1">
      <c r="A78" s="1" t="s">
        <v>61</v>
      </c>
      <c r="C78" s="2">
        <v>43886</v>
      </c>
    </row>
    <row r="79" spans="1:3" ht="21.75" customHeight="1">
      <c r="A79" s="1" t="s">
        <v>45</v>
      </c>
      <c r="C79" s="2">
        <v>43899</v>
      </c>
    </row>
    <row r="80" spans="1:3" ht="21.75" customHeight="1">
      <c r="A80" s="1" t="s">
        <v>164</v>
      </c>
      <c r="C80" s="2">
        <v>43899</v>
      </c>
    </row>
    <row r="81" spans="1:3" ht="21.75" customHeight="1">
      <c r="A81" s="1" t="s">
        <v>165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7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INK</vt:lpstr>
      <vt:lpstr>PaperSummary</vt:lpstr>
      <vt:lpstr>InStock</vt:lpstr>
      <vt:lpstr>Others</vt:lpstr>
      <vt:lpstr>Change Log</vt:lpstr>
      <vt:lpstr>Storage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2023-08-20T08:54:42Z</dcterms:modified>
</cp:coreProperties>
</file>